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Robust Optimization/Project/"/>
    </mc:Choice>
  </mc:AlternateContent>
  <xr:revisionPtr revIDLastSave="4" documentId="13_ncr:1_{AD4E627F-1870-4F48-A017-7A09D30B8898}" xr6:coauthVersionLast="47" xr6:coauthVersionMax="47" xr10:uidLastSave="{91D09EDD-7623-40D8-B644-AAC366F5B0D1}"/>
  <bookViews>
    <workbookView xWindow="-23148" yWindow="-108" windowWidth="23256" windowHeight="12456" activeTab="1" xr2:uid="{00000000-000D-0000-FFFF-FFFF00000000}"/>
  </bookViews>
  <sheets>
    <sheet name="Foglio1" sheetId="1" r:id="rId1"/>
    <sheet name="R-LP" sheetId="2" r:id="rId2"/>
    <sheet name="D-LP" sheetId="3" r:id="rId3"/>
    <sheet name="D-LP_real" sheetId="4" r:id="rId4"/>
    <sheet name="R-LP_real" sheetId="5" r:id="rId5"/>
    <sheet name="R-LP_real (2)" sheetId="6" r:id="rId6"/>
    <sheet name="D-LP_real (2)" sheetId="7" r:id="rId7"/>
    <sheet name="R-LP_real (3)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16" i="7" l="1" a="1"/>
  <c r="AD16" i="7" s="1"/>
  <c r="AC16" i="7" a="1"/>
  <c r="AC16" i="7" s="1"/>
  <c r="AB16" i="7" a="1"/>
  <c r="AB16" i="7" s="1"/>
  <c r="AA16" i="7" a="1"/>
  <c r="AA16" i="7" s="1"/>
  <c r="Z16" i="7" a="1"/>
  <c r="Z16" i="7" s="1"/>
  <c r="Y16" i="7" a="1"/>
  <c r="Y16" i="7" s="1"/>
  <c r="X16" i="7" a="1"/>
  <c r="X16" i="7" s="1"/>
  <c r="W16" i="7" a="1"/>
  <c r="W16" i="7" s="1"/>
  <c r="V16" i="7"/>
  <c r="U16" i="7"/>
  <c r="AD15" i="7" a="1"/>
  <c r="AD15" i="7" s="1"/>
  <c r="AC15" i="7" a="1"/>
  <c r="AC15" i="7" s="1"/>
  <c r="AB15" i="7" a="1"/>
  <c r="AB15" i="7" s="1"/>
  <c r="AA15" i="7" a="1"/>
  <c r="AA15" i="7" s="1"/>
  <c r="Z15" i="7" a="1"/>
  <c r="Z15" i="7" s="1"/>
  <c r="Y15" i="7" a="1"/>
  <c r="Y15" i="7" s="1"/>
  <c r="X15" i="7" a="1"/>
  <c r="X15" i="7" s="1"/>
  <c r="W15" i="7" a="1"/>
  <c r="W15" i="7" s="1"/>
  <c r="V15" i="7"/>
  <c r="U15" i="7"/>
  <c r="AD14" i="7" a="1"/>
  <c r="AD14" i="7" s="1"/>
  <c r="AC14" i="7" a="1"/>
  <c r="AC14" i="7" s="1"/>
  <c r="AB14" i="7" a="1"/>
  <c r="AB14" i="7" s="1"/>
  <c r="AA14" i="7" a="1"/>
  <c r="AA14" i="7" s="1"/>
  <c r="Z14" i="7" a="1"/>
  <c r="Z14" i="7" s="1"/>
  <c r="Y14" i="7" a="1"/>
  <c r="Y14" i="7" s="1"/>
  <c r="X14" i="7" a="1"/>
  <c r="X14" i="7" s="1"/>
  <c r="W14" i="7" a="1"/>
  <c r="W14" i="7" s="1"/>
  <c r="V14" i="7"/>
  <c r="U14" i="7"/>
  <c r="AD13" i="7" a="1"/>
  <c r="AD13" i="7" s="1"/>
  <c r="AC13" i="7" a="1"/>
  <c r="AC13" i="7" s="1"/>
  <c r="AB13" i="7" a="1"/>
  <c r="AB13" i="7" s="1"/>
  <c r="AA13" i="7" a="1"/>
  <c r="AA13" i="7" s="1"/>
  <c r="Z13" i="7" a="1"/>
  <c r="Z13" i="7" s="1"/>
  <c r="Y13" i="7" a="1"/>
  <c r="Y13" i="7" s="1"/>
  <c r="X13" i="7" a="1"/>
  <c r="X13" i="7" s="1"/>
  <c r="W13" i="7" a="1"/>
  <c r="W13" i="7" s="1"/>
  <c r="V13" i="7"/>
  <c r="U13" i="7"/>
  <c r="AD12" i="7" a="1"/>
  <c r="AD12" i="7" s="1"/>
  <c r="AC12" i="7" a="1"/>
  <c r="AC12" i="7" s="1"/>
  <c r="AB12" i="7" a="1"/>
  <c r="AB12" i="7" s="1"/>
  <c r="AA12" i="7" a="1"/>
  <c r="AA12" i="7" s="1"/>
  <c r="Z12" i="7" a="1"/>
  <c r="Z12" i="7" s="1"/>
  <c r="Y12" i="7" a="1"/>
  <c r="Y12" i="7" s="1"/>
  <c r="X12" i="7" a="1"/>
  <c r="X12" i="7" s="1"/>
  <c r="W12" i="7" a="1"/>
  <c r="W12" i="7" s="1"/>
  <c r="V12" i="7"/>
  <c r="U12" i="7"/>
  <c r="AD11" i="7" a="1"/>
  <c r="AD11" i="7" s="1"/>
  <c r="AC11" i="7" a="1"/>
  <c r="AC11" i="7" s="1"/>
  <c r="AB11" i="7" a="1"/>
  <c r="AB11" i="7" s="1"/>
  <c r="AA11" i="7" a="1"/>
  <c r="AA11" i="7" s="1"/>
  <c r="Z11" i="7" a="1"/>
  <c r="Z11" i="7" s="1"/>
  <c r="Y11" i="7" a="1"/>
  <c r="Y11" i="7" s="1"/>
  <c r="X11" i="7" a="1"/>
  <c r="X11" i="7" s="1"/>
  <c r="W11" i="7" a="1"/>
  <c r="W11" i="7" s="1"/>
  <c r="V11" i="7"/>
  <c r="U11" i="7"/>
  <c r="AD10" i="7" a="1"/>
  <c r="AD10" i="7" s="1"/>
  <c r="AC10" i="7" a="1"/>
  <c r="AC10" i="7" s="1"/>
  <c r="AB10" i="7" a="1"/>
  <c r="AB10" i="7" s="1"/>
  <c r="AA10" i="7" a="1"/>
  <c r="AA10" i="7" s="1"/>
  <c r="Z10" i="7" a="1"/>
  <c r="Z10" i="7" s="1"/>
  <c r="Y10" i="7" a="1"/>
  <c r="Y10" i="7" s="1"/>
  <c r="X10" i="7" a="1"/>
  <c r="X10" i="7" s="1"/>
  <c r="W10" i="7" a="1"/>
  <c r="W10" i="7" s="1"/>
  <c r="V10" i="7"/>
  <c r="U10" i="7"/>
  <c r="AD9" i="7" a="1"/>
  <c r="AD9" i="7" s="1"/>
  <c r="AC9" i="7" a="1"/>
  <c r="AC9" i="7" s="1"/>
  <c r="AB9" i="7" a="1"/>
  <c r="AB9" i="7" s="1"/>
  <c r="AA9" i="7" a="1"/>
  <c r="AA9" i="7" s="1"/>
  <c r="Z9" i="7" a="1"/>
  <c r="Z9" i="7" s="1"/>
  <c r="Y9" i="7" a="1"/>
  <c r="Y9" i="7" s="1"/>
  <c r="X9" i="7" a="1"/>
  <c r="X9" i="7" s="1"/>
  <c r="W9" i="7" a="1"/>
  <c r="W9" i="7" s="1"/>
  <c r="V9" i="7"/>
  <c r="U9" i="7"/>
  <c r="AD8" i="7" a="1"/>
  <c r="AD8" i="7" s="1"/>
  <c r="AC8" i="7" a="1"/>
  <c r="AC8" i="7" s="1"/>
  <c r="AB8" i="7" a="1"/>
  <c r="AB8" i="7" s="1"/>
  <c r="AA8" i="7" a="1"/>
  <c r="AA8" i="7" s="1"/>
  <c r="Z8" i="7" a="1"/>
  <c r="Z8" i="7" s="1"/>
  <c r="Y8" i="7" a="1"/>
  <c r="Y8" i="7" s="1"/>
  <c r="X8" i="7" a="1"/>
  <c r="X8" i="7" s="1"/>
  <c r="W8" i="7" a="1"/>
  <c r="W8" i="7" s="1"/>
  <c r="V8" i="7"/>
  <c r="U8" i="7"/>
  <c r="AD7" i="7" a="1"/>
  <c r="AD7" i="7" s="1"/>
  <c r="AC7" i="7" a="1"/>
  <c r="AC7" i="7" s="1"/>
  <c r="AB7" i="7" a="1"/>
  <c r="AB7" i="7" s="1"/>
  <c r="AA7" i="7" a="1"/>
  <c r="AA7" i="7" s="1"/>
  <c r="Z7" i="7" a="1"/>
  <c r="Z7" i="7" s="1"/>
  <c r="Y7" i="7" a="1"/>
  <c r="Y7" i="7" s="1"/>
  <c r="X7" i="7" a="1"/>
  <c r="X7" i="7" s="1"/>
  <c r="W7" i="7" a="1"/>
  <c r="W7" i="7" s="1"/>
  <c r="V7" i="7"/>
  <c r="U7" i="7"/>
  <c r="AD6" i="7" a="1"/>
  <c r="AD6" i="7" s="1"/>
  <c r="AC6" i="7" a="1"/>
  <c r="AC6" i="7" s="1"/>
  <c r="AB6" i="7" a="1"/>
  <c r="AB6" i="7" s="1"/>
  <c r="AA6" i="7" a="1"/>
  <c r="AA6" i="7" s="1"/>
  <c r="Z6" i="7" a="1"/>
  <c r="Z6" i="7" s="1"/>
  <c r="Y6" i="7" a="1"/>
  <c r="Y6" i="7" s="1"/>
  <c r="X6" i="7" a="1"/>
  <c r="X6" i="7" s="1"/>
  <c r="W6" i="7" a="1"/>
  <c r="W6" i="7" s="1"/>
  <c r="V6" i="7"/>
  <c r="U6" i="7"/>
  <c r="AD5" i="7" a="1"/>
  <c r="AD5" i="7" s="1"/>
  <c r="AC5" i="7" a="1"/>
  <c r="AC5" i="7" s="1"/>
  <c r="AB5" i="7" a="1"/>
  <c r="AB5" i="7" s="1"/>
  <c r="AA5" i="7" a="1"/>
  <c r="AA5" i="7" s="1"/>
  <c r="Z5" i="7" a="1"/>
  <c r="Z5" i="7" s="1"/>
  <c r="Y5" i="7" a="1"/>
  <c r="Y5" i="7" s="1"/>
  <c r="X5" i="7" a="1"/>
  <c r="X5" i="7" s="1"/>
  <c r="W5" i="7" a="1"/>
  <c r="W5" i="7" s="1"/>
  <c r="V5" i="7"/>
  <c r="U5" i="7"/>
  <c r="AD4" i="7" a="1"/>
  <c r="AD4" i="7" s="1"/>
  <c r="AC4" i="7" a="1"/>
  <c r="AC4" i="7" s="1"/>
  <c r="AB4" i="7" a="1"/>
  <c r="AB4" i="7" s="1"/>
  <c r="AA4" i="7" a="1"/>
  <c r="AA4" i="7" s="1"/>
  <c r="Z4" i="7" a="1"/>
  <c r="Z4" i="7" s="1"/>
  <c r="Y4" i="7" a="1"/>
  <c r="Y4" i="7" s="1"/>
  <c r="X4" i="7" a="1"/>
  <c r="X4" i="7" s="1"/>
  <c r="W4" i="7" a="1"/>
  <c r="W4" i="7" s="1"/>
  <c r="V4" i="7"/>
  <c r="U4" i="7"/>
  <c r="AD3" i="7" a="1"/>
  <c r="AD3" i="7" s="1"/>
  <c r="AC3" i="7" a="1"/>
  <c r="AC3" i="7" s="1"/>
  <c r="AB3" i="7" a="1"/>
  <c r="AB3" i="7" s="1"/>
  <c r="AA3" i="7" a="1"/>
  <c r="AA3" i="7" s="1"/>
  <c r="Z3" i="7" a="1"/>
  <c r="Z3" i="7" s="1"/>
  <c r="Y3" i="7" a="1"/>
  <c r="Y3" i="7" s="1"/>
  <c r="X3" i="7" a="1"/>
  <c r="X3" i="7" s="1"/>
  <c r="W3" i="7" a="1"/>
  <c r="W3" i="7" s="1"/>
  <c r="V3" i="7"/>
  <c r="U3" i="7"/>
  <c r="AD2" i="7" a="1"/>
  <c r="AD2" i="7" s="1"/>
  <c r="AC2" i="7" a="1"/>
  <c r="AC2" i="7" s="1"/>
  <c r="AB2" i="7" a="1"/>
  <c r="AB2" i="7" s="1"/>
  <c r="AA2" i="7" a="1"/>
  <c r="AA2" i="7" s="1"/>
  <c r="Z2" i="7" a="1"/>
  <c r="Z2" i="7" s="1"/>
  <c r="Y2" i="7" a="1"/>
  <c r="Y2" i="7" s="1"/>
  <c r="X2" i="7" a="1"/>
  <c r="X2" i="7" s="1"/>
  <c r="W2" i="7" a="1"/>
  <c r="W2" i="7" s="1"/>
  <c r="V2" i="7"/>
  <c r="U2" i="7"/>
  <c r="AD15" i="6" a="1"/>
  <c r="AD15" i="6" s="1"/>
  <c r="AC16" i="6" a="1"/>
  <c r="AC16" i="6" s="1"/>
  <c r="Y16" i="6" a="1"/>
  <c r="Y16" i="6" s="1"/>
  <c r="AB17" i="6" a="1"/>
  <c r="AB17" i="6"/>
  <c r="AA17" i="6" a="1"/>
  <c r="AA17" i="6"/>
  <c r="Z17" i="6" a="1"/>
  <c r="Z17" i="6" s="1"/>
  <c r="X17" i="6" a="1"/>
  <c r="X17" i="6"/>
  <c r="W17" i="6" a="1"/>
  <c r="W17" i="6"/>
  <c r="V17" i="6"/>
  <c r="U17" i="6"/>
  <c r="AB16" i="6" a="1"/>
  <c r="AB16" i="6"/>
  <c r="AA16" i="6" a="1"/>
  <c r="AA16" i="6" s="1"/>
  <c r="Z16" i="6" a="1"/>
  <c r="Z16" i="6"/>
  <c r="X16" i="6" a="1"/>
  <c r="X16" i="6"/>
  <c r="W16" i="6" a="1"/>
  <c r="W16" i="6" s="1"/>
  <c r="V16" i="6"/>
  <c r="U16" i="6"/>
  <c r="AB15" i="6" a="1"/>
  <c r="AB15" i="6" s="1"/>
  <c r="AA15" i="6" a="1"/>
  <c r="AA15" i="6"/>
  <c r="Z15" i="6" a="1"/>
  <c r="Z15" i="6"/>
  <c r="X15" i="6" a="1"/>
  <c r="X15" i="6" s="1"/>
  <c r="W15" i="6" a="1"/>
  <c r="W15" i="6"/>
  <c r="V15" i="6"/>
  <c r="U15" i="6"/>
  <c r="AC14" i="6" a="1"/>
  <c r="AC14" i="6" s="1"/>
  <c r="AB14" i="6" a="1"/>
  <c r="AB14" i="6"/>
  <c r="AA14" i="6" a="1"/>
  <c r="AA14" i="6"/>
  <c r="Z14" i="6" a="1"/>
  <c r="Z14" i="6"/>
  <c r="Y14" i="6" a="1"/>
  <c r="Y14" i="6" s="1"/>
  <c r="X14" i="6" a="1"/>
  <c r="X14" i="6"/>
  <c r="W14" i="6" a="1"/>
  <c r="W14" i="6"/>
  <c r="V14" i="6"/>
  <c r="U14" i="6"/>
  <c r="AD13" i="6" a="1"/>
  <c r="AD13" i="6" s="1"/>
  <c r="AB13" i="6" a="1"/>
  <c r="AB13" i="6"/>
  <c r="AA13" i="6" a="1"/>
  <c r="AA13" i="6"/>
  <c r="Z13" i="6" a="1"/>
  <c r="Z13" i="6" s="1"/>
  <c r="X13" i="6" a="1"/>
  <c r="X13" i="6"/>
  <c r="W13" i="6" a="1"/>
  <c r="W13" i="6"/>
  <c r="V13" i="6"/>
  <c r="U13" i="6"/>
  <c r="AB12" i="6" a="1"/>
  <c r="AB12" i="6"/>
  <c r="AA12" i="6" a="1"/>
  <c r="AA12" i="6" s="1"/>
  <c r="Z12" i="6" a="1"/>
  <c r="Z12" i="6"/>
  <c r="X12" i="6" a="1"/>
  <c r="X12" i="6"/>
  <c r="W12" i="6" a="1"/>
  <c r="W12" i="6" s="1"/>
  <c r="V12" i="6"/>
  <c r="U12" i="6"/>
  <c r="AB11" i="6" a="1"/>
  <c r="AB11" i="6" s="1"/>
  <c r="AA11" i="6" a="1"/>
  <c r="AA11" i="6"/>
  <c r="Z11" i="6" a="1"/>
  <c r="Z11" i="6"/>
  <c r="X11" i="6" a="1"/>
  <c r="X11" i="6" s="1"/>
  <c r="W11" i="6" a="1"/>
  <c r="W11" i="6"/>
  <c r="V11" i="6"/>
  <c r="U11" i="6"/>
  <c r="AC10" i="6" a="1"/>
  <c r="AC10" i="6" s="1"/>
  <c r="AB10" i="6" a="1"/>
  <c r="AB10" i="6"/>
  <c r="AA10" i="6" a="1"/>
  <c r="AA10" i="6"/>
  <c r="Z10" i="6" a="1"/>
  <c r="Z10" i="6"/>
  <c r="Y10" i="6" a="1"/>
  <c r="Y10" i="6" s="1"/>
  <c r="X10" i="6" a="1"/>
  <c r="X10" i="6"/>
  <c r="W10" i="6" a="1"/>
  <c r="W10" i="6"/>
  <c r="V10" i="6"/>
  <c r="U10" i="6"/>
  <c r="AD9" i="6" a="1"/>
  <c r="AD9" i="6" s="1"/>
  <c r="AB9" i="6" a="1"/>
  <c r="AB9" i="6"/>
  <c r="AA9" i="6" a="1"/>
  <c r="AA9" i="6"/>
  <c r="Z9" i="6" a="1"/>
  <c r="Z9" i="6" s="1"/>
  <c r="X9" i="6" a="1"/>
  <c r="X9" i="6"/>
  <c r="W9" i="6" a="1"/>
  <c r="W9" i="6"/>
  <c r="V9" i="6"/>
  <c r="U9" i="6"/>
  <c r="AB8" i="6" a="1"/>
  <c r="AB8" i="6"/>
  <c r="AA8" i="6" a="1"/>
  <c r="AA8" i="6" s="1"/>
  <c r="Z8" i="6" a="1"/>
  <c r="Z8" i="6"/>
  <c r="X8" i="6" a="1"/>
  <c r="X8" i="6"/>
  <c r="W8" i="6" a="1"/>
  <c r="W8" i="6" s="1"/>
  <c r="V8" i="6"/>
  <c r="U8" i="6"/>
  <c r="AB7" i="6" a="1"/>
  <c r="AB7" i="6" s="1"/>
  <c r="AA7" i="6" a="1"/>
  <c r="AA7" i="6"/>
  <c r="Z7" i="6" a="1"/>
  <c r="Z7" i="6"/>
  <c r="X7" i="6" a="1"/>
  <c r="X7" i="6" s="1"/>
  <c r="W7" i="6" a="1"/>
  <c r="W7" i="6"/>
  <c r="V7" i="6"/>
  <c r="U7" i="6"/>
  <c r="AC6" i="6" a="1"/>
  <c r="AC6" i="6" s="1"/>
  <c r="AB6" i="6" a="1"/>
  <c r="AB6" i="6"/>
  <c r="AA6" i="6" a="1"/>
  <c r="AA6" i="6"/>
  <c r="Z6" i="6" a="1"/>
  <c r="Z6" i="6"/>
  <c r="Y6" i="6" a="1"/>
  <c r="Y6" i="6" s="1"/>
  <c r="X6" i="6" a="1"/>
  <c r="X6" i="6"/>
  <c r="W6" i="6" a="1"/>
  <c r="W6" i="6"/>
  <c r="V6" i="6"/>
  <c r="U6" i="6"/>
  <c r="AD5" i="6" a="1"/>
  <c r="AD5" i="6" s="1"/>
  <c r="AB5" i="6" a="1"/>
  <c r="AB5" i="6"/>
  <c r="AA5" i="6" a="1"/>
  <c r="AA5" i="6"/>
  <c r="Z5" i="6" a="1"/>
  <c r="Z5" i="6" s="1"/>
  <c r="X5" i="6" a="1"/>
  <c r="X5" i="6"/>
  <c r="W5" i="6" a="1"/>
  <c r="W5" i="6"/>
  <c r="V5" i="6"/>
  <c r="U5" i="6"/>
  <c r="AB4" i="6" a="1"/>
  <c r="AB4" i="6"/>
  <c r="AA4" i="6" a="1"/>
  <c r="AA4" i="6" s="1"/>
  <c r="Z4" i="6" a="1"/>
  <c r="Z4" i="6"/>
  <c r="X4" i="6" a="1"/>
  <c r="X4" i="6"/>
  <c r="W4" i="6" a="1"/>
  <c r="W4" i="6" s="1"/>
  <c r="V4" i="6"/>
  <c r="U4" i="6"/>
  <c r="AB3" i="6" a="1"/>
  <c r="AB3" i="6" s="1"/>
  <c r="AA3" i="6" a="1"/>
  <c r="AA3" i="6"/>
  <c r="Z3" i="6" a="1"/>
  <c r="Z3" i="6"/>
  <c r="X3" i="6" a="1"/>
  <c r="X3" i="6" s="1"/>
  <c r="W3" i="6" a="1"/>
  <c r="W3" i="6"/>
  <c r="V3" i="6"/>
  <c r="U3" i="6"/>
  <c r="AC2" i="6" a="1"/>
  <c r="AC2" i="6" s="1"/>
  <c r="AB2" i="6" a="1"/>
  <c r="AB2" i="6"/>
  <c r="AA2" i="6" a="1"/>
  <c r="AA2" i="6"/>
  <c r="Z2" i="6" a="1"/>
  <c r="Z2" i="6"/>
  <c r="Y2" i="6" a="1"/>
  <c r="Y2" i="6" s="1"/>
  <c r="X2" i="6" a="1"/>
  <c r="X2" i="6"/>
  <c r="W2" i="6" a="1"/>
  <c r="W2" i="6"/>
  <c r="V2" i="6"/>
  <c r="U2" i="6"/>
  <c r="D23" i="5"/>
  <c r="Q22" i="5"/>
  <c r="Q23" i="5" s="1"/>
  <c r="P22" i="5"/>
  <c r="P25" i="5" s="1"/>
  <c r="O22" i="5"/>
  <c r="O25" i="5" s="1"/>
  <c r="N22" i="5"/>
  <c r="N24" i="5" s="1"/>
  <c r="M22" i="5"/>
  <c r="M25" i="5" s="1"/>
  <c r="L22" i="5"/>
  <c r="L25" i="5" s="1"/>
  <c r="K22" i="5"/>
  <c r="K25" i="5" s="1"/>
  <c r="J22" i="5"/>
  <c r="J25" i="5" s="1"/>
  <c r="I22" i="5"/>
  <c r="I25" i="5" s="1"/>
  <c r="H22" i="5"/>
  <c r="H25" i="5" s="1"/>
  <c r="G22" i="5"/>
  <c r="G25" i="5" s="1"/>
  <c r="F22" i="5"/>
  <c r="F25" i="5" s="1"/>
  <c r="E22" i="5"/>
  <c r="E25" i="5" s="1"/>
  <c r="D22" i="5"/>
  <c r="D25" i="5" s="1"/>
  <c r="C22" i="5"/>
  <c r="C25" i="5" s="1"/>
  <c r="B22" i="5"/>
  <c r="B25" i="5" s="1"/>
  <c r="I21" i="5"/>
  <c r="H21" i="5"/>
  <c r="G21" i="5"/>
  <c r="F21" i="5"/>
  <c r="E21" i="5"/>
  <c r="D21" i="5"/>
  <c r="C21" i="5"/>
  <c r="B21" i="5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I23" i="5" l="1"/>
  <c r="I24" i="5"/>
  <c r="N25" i="5"/>
  <c r="F24" i="5"/>
  <c r="G23" i="5"/>
  <c r="O23" i="5"/>
  <c r="G24" i="5"/>
  <c r="O24" i="5"/>
  <c r="AD4" i="6" a="1"/>
  <c r="AD4" i="6" s="1"/>
  <c r="Y5" i="6" a="1"/>
  <c r="Y5" i="6" s="1"/>
  <c r="AC5" i="6" a="1"/>
  <c r="AC5" i="6" s="1"/>
  <c r="AD8" i="6" a="1"/>
  <c r="AD8" i="6" s="1"/>
  <c r="Y9" i="6" a="1"/>
  <c r="Y9" i="6" s="1"/>
  <c r="AC9" i="6" a="1"/>
  <c r="AC9" i="6" s="1"/>
  <c r="AD12" i="6" a="1"/>
  <c r="AD12" i="6" s="1"/>
  <c r="Y13" i="6" a="1"/>
  <c r="Y13" i="6" s="1"/>
  <c r="AC13" i="6" a="1"/>
  <c r="AC13" i="6" s="1"/>
  <c r="AD16" i="6" a="1"/>
  <c r="AD16" i="6" s="1"/>
  <c r="Y17" i="6" a="1"/>
  <c r="Y17" i="6" s="1"/>
  <c r="AC17" i="6" a="1"/>
  <c r="AC17" i="6" s="1"/>
  <c r="F23" i="5"/>
  <c r="N23" i="5"/>
  <c r="H23" i="5"/>
  <c r="P23" i="5"/>
  <c r="H24" i="5"/>
  <c r="P24" i="5"/>
  <c r="AD17" i="6" a="1"/>
  <c r="AD17" i="6" s="1"/>
  <c r="Q25" i="5"/>
  <c r="B23" i="5"/>
  <c r="J23" i="5"/>
  <c r="B24" i="5"/>
  <c r="J24" i="5"/>
  <c r="C23" i="5"/>
  <c r="K23" i="5"/>
  <c r="C24" i="5"/>
  <c r="K24" i="5"/>
  <c r="AD2" i="6" a="1"/>
  <c r="AD2" i="6" s="1"/>
  <c r="Y3" i="6" a="1"/>
  <c r="Y3" i="6" s="1"/>
  <c r="AC3" i="6" a="1"/>
  <c r="AC3" i="6" s="1"/>
  <c r="AD6" i="6" a="1"/>
  <c r="AD6" i="6" s="1"/>
  <c r="Y7" i="6" a="1"/>
  <c r="Y7" i="6" s="1"/>
  <c r="AC7" i="6" a="1"/>
  <c r="AC7" i="6" s="1"/>
  <c r="AD10" i="6" a="1"/>
  <c r="AD10" i="6" s="1"/>
  <c r="Y11" i="6" a="1"/>
  <c r="Y11" i="6" s="1"/>
  <c r="AC11" i="6" a="1"/>
  <c r="AC11" i="6" s="1"/>
  <c r="AD14" i="6" a="1"/>
  <c r="AD14" i="6" s="1"/>
  <c r="Y15" i="6" a="1"/>
  <c r="Y15" i="6" s="1"/>
  <c r="AC15" i="6" a="1"/>
  <c r="AC15" i="6" s="1"/>
  <c r="Q24" i="5"/>
  <c r="L23" i="5"/>
  <c r="D24" i="5"/>
  <c r="L24" i="5"/>
  <c r="E23" i="5"/>
  <c r="M23" i="5"/>
  <c r="E24" i="5"/>
  <c r="M24" i="5"/>
  <c r="AD3" i="6" a="1"/>
  <c r="AD3" i="6" s="1"/>
  <c r="Y4" i="6" a="1"/>
  <c r="Y4" i="6" s="1"/>
  <c r="AC4" i="6" a="1"/>
  <c r="AC4" i="6" s="1"/>
  <c r="AD7" i="6" a="1"/>
  <c r="AD7" i="6" s="1"/>
  <c r="Y8" i="6" a="1"/>
  <c r="Y8" i="6" s="1"/>
  <c r="AC8" i="6" a="1"/>
  <c r="AC8" i="6" s="1"/>
  <c r="AD11" i="6" a="1"/>
  <c r="AD11" i="6" s="1"/>
  <c r="Y12" i="6" a="1"/>
  <c r="Y12" i="6" s="1"/>
  <c r="AC12" i="6" a="1"/>
  <c r="AC12" i="6" s="1"/>
</calcChain>
</file>

<file path=xl/sharedStrings.xml><?xml version="1.0" encoding="utf-8"?>
<sst xmlns="http://schemas.openxmlformats.org/spreadsheetml/2006/main" count="202" uniqueCount="38">
  <si>
    <t>Run</t>
  </si>
  <si>
    <t>HRT</t>
  </si>
  <si>
    <t>d-1</t>
  </si>
  <si>
    <t>Gamma_Z</t>
  </si>
  <si>
    <t>-</t>
  </si>
  <si>
    <t>Gamma_W</t>
  </si>
  <si>
    <t>Gamma_L</t>
  </si>
  <si>
    <t>Revenue</t>
  </si>
  <si>
    <t>€ d-1</t>
  </si>
  <si>
    <t>Purchase costs</t>
  </si>
  <si>
    <t>Transportation costs</t>
  </si>
  <si>
    <t>J</t>
  </si>
  <si>
    <t>Barley silage</t>
  </si>
  <si>
    <t>tonFM</t>
  </si>
  <si>
    <t>Chicken dung</t>
  </si>
  <si>
    <t>Cow dung</t>
  </si>
  <si>
    <t>Cow slurry</t>
  </si>
  <si>
    <t>Maize silage</t>
  </si>
  <si>
    <t>Pig slurry</t>
  </si>
  <si>
    <t>Sorghum silage</t>
  </si>
  <si>
    <t>Tomato peels</t>
  </si>
  <si>
    <t>Triticale silage</t>
  </si>
  <si>
    <t>Wheat byproducts</t>
  </si>
  <si>
    <t>unc.bmp</t>
  </si>
  <si>
    <t>unc.price</t>
  </si>
  <si>
    <t>Qin</t>
  </si>
  <si>
    <t>Revenue/tonIN</t>
  </si>
  <si>
    <t>Cp/tonIN</t>
  </si>
  <si>
    <t>Ct/tonIN</t>
  </si>
  <si>
    <t>VaR</t>
  </si>
  <si>
    <t>VS</t>
  </si>
  <si>
    <t>BMPinf</t>
  </si>
  <si>
    <t>TKN</t>
  </si>
  <si>
    <t>C/N</t>
  </si>
  <si>
    <t>TAN</t>
  </si>
  <si>
    <t>TAC</t>
  </si>
  <si>
    <t>LI</t>
  </si>
  <si>
    <t>TVFA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</si>
</sst>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ptos Narrow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/>
    </xf>
    <xf numFmtId="164" fontId="1" fillId="0" borderId="3" xfId="0" applyNumberFormat="1" applyFont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/>
    <xf numFmtId="1" fontId="3" fillId="0" borderId="0" xfId="0" applyNumberFormat="1" applyFont="1"/>
    <xf numFmtId="2" fontId="3" fillId="0" borderId="0" xfId="0" applyNumberFormat="1" applyFont="1"/>
    <xf numFmtId="2" fontId="0" fillId="0" borderId="0" xfId="0" applyNumberFormat="1"/>
    <xf numFmtId="2" fontId="1" fillId="0" borderId="0" xfId="0" applyNumberFormat="1" applyFont="1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" sqref="A2:A19"/>
    </sheetView>
  </sheetViews>
  <sheetFormatPr defaultRowHeight="15" x14ac:dyDescent="0.25"/>
  <cols>
    <col min="1" max="1" width="17.42578125" bestFit="1" customWidth="1"/>
    <col min="2" max="2" width="11.28515625" bestFit="1" customWidth="1"/>
    <col min="3" max="3" width="12.85546875" customWidth="1"/>
  </cols>
  <sheetData>
    <row r="1" spans="1:3" x14ac:dyDescent="0.25">
      <c r="A1" s="1"/>
      <c r="B1" s="2"/>
      <c r="C1" s="2" t="s">
        <v>0</v>
      </c>
    </row>
    <row r="2" spans="1:3" x14ac:dyDescent="0.25">
      <c r="A2" s="10" t="s">
        <v>1</v>
      </c>
      <c r="B2" s="12" t="s">
        <v>2</v>
      </c>
      <c r="C2" s="3"/>
    </row>
    <row r="3" spans="1:3" x14ac:dyDescent="0.25">
      <c r="A3" s="11" t="s">
        <v>3</v>
      </c>
      <c r="B3" s="12" t="s">
        <v>4</v>
      </c>
      <c r="C3" s="6"/>
    </row>
    <row r="4" spans="1:3" x14ac:dyDescent="0.25">
      <c r="A4" s="11" t="s">
        <v>5</v>
      </c>
      <c r="B4" s="12" t="s">
        <v>4</v>
      </c>
      <c r="C4" s="6"/>
    </row>
    <row r="5" spans="1:3" x14ac:dyDescent="0.25">
      <c r="A5" s="11" t="s">
        <v>6</v>
      </c>
      <c r="B5" s="12" t="s">
        <v>4</v>
      </c>
      <c r="C5" s="6"/>
    </row>
    <row r="6" spans="1:3" x14ac:dyDescent="0.25">
      <c r="A6" s="11" t="s">
        <v>7</v>
      </c>
      <c r="B6" s="13" t="s">
        <v>8</v>
      </c>
      <c r="C6" s="6"/>
    </row>
    <row r="7" spans="1:3" x14ac:dyDescent="0.25">
      <c r="A7" s="11" t="s">
        <v>9</v>
      </c>
      <c r="B7" s="13" t="s">
        <v>8</v>
      </c>
      <c r="C7" s="6"/>
    </row>
    <row r="8" spans="1:3" x14ac:dyDescent="0.25">
      <c r="A8" s="11" t="s">
        <v>10</v>
      </c>
      <c r="B8" s="13" t="s">
        <v>8</v>
      </c>
      <c r="C8" s="6"/>
    </row>
    <row r="9" spans="1:3" x14ac:dyDescent="0.25">
      <c r="A9" s="11" t="s">
        <v>11</v>
      </c>
      <c r="B9" s="13" t="s">
        <v>8</v>
      </c>
      <c r="C9" s="6"/>
    </row>
    <row r="10" spans="1:3" x14ac:dyDescent="0.25">
      <c r="A10" s="5" t="s">
        <v>12</v>
      </c>
      <c r="B10" s="6" t="s">
        <v>13</v>
      </c>
      <c r="C10" s="7"/>
    </row>
    <row r="11" spans="1:3" x14ac:dyDescent="0.25">
      <c r="A11" s="5" t="s">
        <v>14</v>
      </c>
      <c r="B11" s="6" t="s">
        <v>13</v>
      </c>
      <c r="C11" s="7"/>
    </row>
    <row r="12" spans="1:3" x14ac:dyDescent="0.25">
      <c r="A12" s="5" t="s">
        <v>15</v>
      </c>
      <c r="B12" s="6" t="s">
        <v>13</v>
      </c>
      <c r="C12" s="7"/>
    </row>
    <row r="13" spans="1:3" x14ac:dyDescent="0.25">
      <c r="A13" s="5" t="s">
        <v>16</v>
      </c>
      <c r="B13" s="6" t="s">
        <v>13</v>
      </c>
      <c r="C13" s="7"/>
    </row>
    <row r="14" spans="1:3" x14ac:dyDescent="0.25">
      <c r="A14" s="5" t="s">
        <v>17</v>
      </c>
      <c r="B14" s="6" t="s">
        <v>13</v>
      </c>
      <c r="C14" s="7"/>
    </row>
    <row r="15" spans="1:3" x14ac:dyDescent="0.25">
      <c r="A15" s="5" t="s">
        <v>18</v>
      </c>
      <c r="B15" s="6" t="s">
        <v>13</v>
      </c>
      <c r="C15" s="7"/>
    </row>
    <row r="16" spans="1:3" x14ac:dyDescent="0.25">
      <c r="A16" s="5" t="s">
        <v>19</v>
      </c>
      <c r="B16" s="6" t="s">
        <v>13</v>
      </c>
      <c r="C16" s="7"/>
    </row>
    <row r="17" spans="1:3" x14ac:dyDescent="0.25">
      <c r="A17" s="5" t="s">
        <v>20</v>
      </c>
      <c r="B17" s="6" t="s">
        <v>13</v>
      </c>
      <c r="C17" s="7"/>
    </row>
    <row r="18" spans="1:3" x14ac:dyDescent="0.25">
      <c r="A18" s="5" t="s">
        <v>21</v>
      </c>
      <c r="B18" s="6" t="s">
        <v>13</v>
      </c>
      <c r="C18" s="7"/>
    </row>
    <row r="19" spans="1:3" x14ac:dyDescent="0.25">
      <c r="A19" s="8" t="s">
        <v>22</v>
      </c>
      <c r="B19" s="4" t="s">
        <v>13</v>
      </c>
      <c r="C1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"/>
  <sheetViews>
    <sheetView tabSelected="1" zoomScale="80" zoomScaleNormal="80" workbookViewId="0">
      <selection activeCell="B19" sqref="B19"/>
    </sheetView>
  </sheetViews>
  <sheetFormatPr defaultRowHeight="15" x14ac:dyDescent="0.25"/>
  <cols>
    <col min="1" max="1" width="19.140625" bestFit="1" customWidth="1"/>
    <col min="6" max="9" width="10.85546875" bestFit="1" customWidth="1"/>
    <col min="10" max="17" width="11.85546875" bestFit="1" customWidth="1"/>
    <col min="18" max="18" width="10.85546875" bestFit="1" customWidth="1"/>
    <col min="19" max="19" width="11.85546875" bestFit="1" customWidth="1"/>
    <col min="20" max="20" width="10.85546875" bestFit="1" customWidth="1"/>
  </cols>
  <sheetData>
    <row r="1" spans="1:20" x14ac:dyDescent="0.25">
      <c r="A1" s="10" t="s">
        <v>1</v>
      </c>
      <c r="B1">
        <v>20</v>
      </c>
      <c r="C1">
        <v>20</v>
      </c>
      <c r="D1">
        <v>20</v>
      </c>
      <c r="E1">
        <v>20</v>
      </c>
      <c r="F1">
        <v>20</v>
      </c>
      <c r="G1">
        <v>20</v>
      </c>
      <c r="H1">
        <v>20</v>
      </c>
      <c r="I1">
        <v>20</v>
      </c>
      <c r="J1">
        <v>20</v>
      </c>
      <c r="K1">
        <v>20</v>
      </c>
      <c r="L1">
        <v>20</v>
      </c>
      <c r="M1">
        <v>20</v>
      </c>
      <c r="N1">
        <v>19.999999999999989</v>
      </c>
      <c r="O1">
        <v>20</v>
      </c>
      <c r="P1">
        <v>20</v>
      </c>
      <c r="Q1">
        <v>20</v>
      </c>
      <c r="R1">
        <v>20</v>
      </c>
      <c r="S1">
        <v>20</v>
      </c>
      <c r="T1">
        <v>20</v>
      </c>
    </row>
    <row r="2" spans="1:20" x14ac:dyDescent="0.25">
      <c r="A2" s="11" t="s">
        <v>3</v>
      </c>
      <c r="B2" s="24">
        <v>7.1555559999999998</v>
      </c>
      <c r="C2" s="24">
        <v>7.1555559999999998</v>
      </c>
      <c r="D2" s="24">
        <v>7.1555559999999998</v>
      </c>
      <c r="E2" s="24">
        <v>7.1555559999999998</v>
      </c>
      <c r="F2" s="24">
        <v>7.1555562541554156</v>
      </c>
      <c r="G2" s="24">
        <v>6.5025274285231323</v>
      </c>
      <c r="H2" s="24">
        <v>6.5025274285231323</v>
      </c>
      <c r="I2" s="24">
        <v>6.3175257296891161</v>
      </c>
      <c r="J2" s="24">
        <v>6.3175257296891161</v>
      </c>
      <c r="K2" s="24">
        <v>5.152912050461893</v>
      </c>
      <c r="L2" s="24">
        <v>5.152912050461893</v>
      </c>
      <c r="M2" s="24">
        <v>4.6570550596305296</v>
      </c>
      <c r="N2" s="24">
        <v>4.6570550596305296</v>
      </c>
      <c r="O2" s="24">
        <v>4.6570550596305296</v>
      </c>
      <c r="P2" s="24">
        <v>4.6570550596305296</v>
      </c>
      <c r="Q2" s="24">
        <v>7.1555562541554156</v>
      </c>
      <c r="R2" s="24">
        <v>7.1555562541554156</v>
      </c>
      <c r="S2" s="24">
        <v>0</v>
      </c>
      <c r="T2" s="24">
        <v>20</v>
      </c>
    </row>
    <row r="3" spans="1:20" x14ac:dyDescent="0.25">
      <c r="A3" s="11" t="s">
        <v>5</v>
      </c>
      <c r="B3" s="24">
        <v>5.4003480000000001</v>
      </c>
      <c r="C3" s="24">
        <v>5.4003480000000001</v>
      </c>
      <c r="D3" s="24">
        <v>5.4003480000000001</v>
      </c>
      <c r="E3" s="24">
        <v>5.4003480000000001</v>
      </c>
      <c r="F3" s="24">
        <v>5.0192252900869141</v>
      </c>
      <c r="G3" s="24">
        <v>4.7119488257918896</v>
      </c>
      <c r="H3" s="24">
        <v>4.5101408359903159</v>
      </c>
      <c r="I3" s="24">
        <v>4.0672138151448927</v>
      </c>
      <c r="J3" s="24">
        <v>3.659665555746376</v>
      </c>
      <c r="K3" s="24">
        <v>3.2900729256067378</v>
      </c>
      <c r="L3" s="24">
        <v>3.0176688348470209</v>
      </c>
      <c r="M3" s="24">
        <v>2.7067761711410601</v>
      </c>
      <c r="N3" s="24">
        <v>2.2181517618861419</v>
      </c>
      <c r="O3" s="24">
        <v>2.070141688138833</v>
      </c>
      <c r="P3" s="24">
        <v>1.804729825901729</v>
      </c>
      <c r="Q3" s="24">
        <v>5.9611184326978206</v>
      </c>
      <c r="R3" s="24">
        <v>5.9117357790094571</v>
      </c>
      <c r="S3" s="24">
        <v>0</v>
      </c>
      <c r="T3" s="24">
        <v>20</v>
      </c>
    </row>
    <row r="4" spans="1:20" x14ac:dyDescent="0.25">
      <c r="A4" s="11" t="s">
        <v>6</v>
      </c>
      <c r="B4" s="24">
        <v>7.7404549999999999</v>
      </c>
      <c r="C4" s="24">
        <v>7.7404549999999999</v>
      </c>
      <c r="D4" s="24">
        <v>7.7404549999999999</v>
      </c>
      <c r="E4" s="24">
        <v>7.7404549999999999</v>
      </c>
      <c r="F4" s="24">
        <v>6.7861404244151116</v>
      </c>
      <c r="G4" s="24">
        <v>5.6735137479944484</v>
      </c>
      <c r="H4" s="24">
        <v>4.9070822375948344</v>
      </c>
      <c r="I4" s="24">
        <v>4.2808661083340489</v>
      </c>
      <c r="J4" s="24">
        <v>3.723297411059034</v>
      </c>
      <c r="K4" s="24">
        <v>3.196327967421337</v>
      </c>
      <c r="L4" s="24">
        <v>2.670861074405527</v>
      </c>
      <c r="M4" s="24">
        <v>2.1125508340118579</v>
      </c>
      <c r="N4" s="24">
        <v>1.4516233372182079</v>
      </c>
      <c r="O4" s="24">
        <v>1.0128503777710749</v>
      </c>
      <c r="P4" s="24">
        <v>0.44833772657454352</v>
      </c>
      <c r="Q4" s="24">
        <v>0</v>
      </c>
      <c r="R4" s="24">
        <v>9.5970518243761624</v>
      </c>
      <c r="S4" s="24">
        <v>0</v>
      </c>
      <c r="T4" s="24">
        <v>20</v>
      </c>
    </row>
    <row r="5" spans="1:20" x14ac:dyDescent="0.25">
      <c r="A5" s="11" t="s">
        <v>7</v>
      </c>
      <c r="B5" s="23">
        <v>9978.1525846277855</v>
      </c>
      <c r="C5" s="23">
        <v>11825.709472255599</v>
      </c>
      <c r="D5" s="23">
        <v>11825.709472255599</v>
      </c>
      <c r="E5" s="23">
        <v>9981.6499159528357</v>
      </c>
      <c r="F5" s="24">
        <v>9978.1525846277855</v>
      </c>
      <c r="G5" s="24">
        <v>9965.6926748437963</v>
      </c>
      <c r="H5" s="24">
        <v>9980.8074237852925</v>
      </c>
      <c r="I5" s="24">
        <v>9971.9430312207242</v>
      </c>
      <c r="J5" s="24">
        <v>10033.65295298753</v>
      </c>
      <c r="K5" s="24">
        <v>10105.248987697179</v>
      </c>
      <c r="L5" s="24">
        <v>10282.47934650832</v>
      </c>
      <c r="M5" s="24">
        <v>10479.38850440542</v>
      </c>
      <c r="N5" s="24">
        <v>10712.489507053901</v>
      </c>
      <c r="O5" s="24">
        <v>10832.49428668027</v>
      </c>
      <c r="P5" s="24">
        <v>11450.13710226345</v>
      </c>
      <c r="Q5" s="24">
        <v>11825.709472255599</v>
      </c>
      <c r="R5" s="24">
        <v>9978.1525846277855</v>
      </c>
      <c r="S5" s="24">
        <v>11825.709472255599</v>
      </c>
      <c r="T5" s="24">
        <v>9978.1525846277873</v>
      </c>
    </row>
    <row r="6" spans="1:20" x14ac:dyDescent="0.25">
      <c r="A6" s="11" t="s">
        <v>9</v>
      </c>
      <c r="B6" s="23">
        <v>4959.6784704293623</v>
      </c>
      <c r="C6" s="23">
        <v>4024.640837013967</v>
      </c>
      <c r="D6" s="23">
        <v>4964.204591597475</v>
      </c>
      <c r="E6" s="23">
        <v>4024.640837013967</v>
      </c>
      <c r="F6" s="24">
        <v>4959.6784704293641</v>
      </c>
      <c r="G6" s="24">
        <v>4946.3863938171226</v>
      </c>
      <c r="H6" s="24">
        <v>4945.1002530687356</v>
      </c>
      <c r="I6" s="24">
        <v>4892.5360769080298</v>
      </c>
      <c r="J6" s="24">
        <v>4880.6700765513779</v>
      </c>
      <c r="K6" s="24">
        <v>4856.3332903299724</v>
      </c>
      <c r="L6" s="24">
        <v>4833.1328854546264</v>
      </c>
      <c r="M6" s="24">
        <v>4787.235608852824</v>
      </c>
      <c r="N6" s="24">
        <v>4712.439144471442</v>
      </c>
      <c r="O6" s="24">
        <v>4594.867768566397</v>
      </c>
      <c r="P6" s="24">
        <v>4755.400316505863</v>
      </c>
      <c r="Q6" s="24">
        <v>4964.204591597475</v>
      </c>
      <c r="R6" s="24">
        <v>4959.6784704293641</v>
      </c>
      <c r="S6" s="24">
        <v>4106.1171244936313</v>
      </c>
      <c r="T6" s="24">
        <v>4959.6784704293632</v>
      </c>
    </row>
    <row r="7" spans="1:20" x14ac:dyDescent="0.25">
      <c r="A7" s="11" t="s">
        <v>10</v>
      </c>
      <c r="B7" s="23">
        <v>894.42983848740141</v>
      </c>
      <c r="C7" s="23">
        <v>894.52400040269515</v>
      </c>
      <c r="D7" s="23">
        <v>894.52400040269526</v>
      </c>
      <c r="E7" s="23">
        <v>894.52400040269515</v>
      </c>
      <c r="F7" s="24">
        <v>894.42983848740141</v>
      </c>
      <c r="G7" s="24">
        <v>893.37622333428703</v>
      </c>
      <c r="H7" s="24">
        <v>893.37622333428703</v>
      </c>
      <c r="I7" s="24">
        <v>892.17128384942509</v>
      </c>
      <c r="J7" s="24">
        <v>894.61905840305371</v>
      </c>
      <c r="K7" s="24">
        <v>898.40087356985885</v>
      </c>
      <c r="L7" s="24">
        <v>903.82703174717005</v>
      </c>
      <c r="M7" s="24">
        <v>903.82703174717005</v>
      </c>
      <c r="N7" s="24">
        <v>903.82703174717005</v>
      </c>
      <c r="O7" s="24">
        <v>914.83584921581496</v>
      </c>
      <c r="P7" s="24">
        <v>894.66059322383614</v>
      </c>
      <c r="Q7" s="24">
        <v>894.52400040269526</v>
      </c>
      <c r="R7" s="24">
        <v>894.42983848740141</v>
      </c>
      <c r="S7" s="24">
        <v>894.50522876110847</v>
      </c>
      <c r="T7" s="24">
        <v>894.4298384874013</v>
      </c>
    </row>
    <row r="8" spans="1:20" x14ac:dyDescent="0.25">
      <c r="A8" s="11" t="s">
        <v>11</v>
      </c>
      <c r="B8" s="23">
        <v>4124.0442757110213</v>
      </c>
      <c r="C8" s="23">
        <v>6906.544634838936</v>
      </c>
      <c r="D8" s="23">
        <v>5966.9808802554271</v>
      </c>
      <c r="E8" s="23">
        <v>5062.4850785361741</v>
      </c>
      <c r="F8" s="24">
        <v>4124.0442757110204</v>
      </c>
      <c r="G8" s="24">
        <v>4125.930057692387</v>
      </c>
      <c r="H8" s="24">
        <v>4142.3309473822701</v>
      </c>
      <c r="I8" s="24">
        <v>4187.2356704632693</v>
      </c>
      <c r="J8" s="24">
        <v>4258.3638180331018</v>
      </c>
      <c r="K8" s="24">
        <v>4350.5148237973526</v>
      </c>
      <c r="L8" s="24">
        <v>4545.5194293065279</v>
      </c>
      <c r="M8" s="24">
        <v>4788.3258638054303</v>
      </c>
      <c r="N8" s="24">
        <v>5096.223330835287</v>
      </c>
      <c r="O8" s="24">
        <v>5322.7906688980584</v>
      </c>
      <c r="P8" s="24">
        <v>5800.0761925337474</v>
      </c>
      <c r="Q8" s="24">
        <v>5966.9808802554289</v>
      </c>
      <c r="R8" s="24">
        <v>4124.0442757110204</v>
      </c>
      <c r="S8" s="24">
        <v>6825.0871190008565</v>
      </c>
      <c r="T8" s="24">
        <v>4124.0442757110231</v>
      </c>
    </row>
    <row r="9" spans="1:20" x14ac:dyDescent="0.25">
      <c r="A9" s="5" t="s">
        <v>12</v>
      </c>
      <c r="B9" s="12">
        <v>5</v>
      </c>
      <c r="C9" s="12">
        <v>4.03</v>
      </c>
      <c r="D9" s="12">
        <v>4.03</v>
      </c>
      <c r="E9" s="12">
        <v>4.03</v>
      </c>
      <c r="F9" s="12">
        <v>5</v>
      </c>
      <c r="G9" s="12">
        <v>5</v>
      </c>
      <c r="H9" s="12">
        <v>5</v>
      </c>
      <c r="I9" s="12">
        <v>5.26</v>
      </c>
      <c r="J9" s="12">
        <v>5.98</v>
      </c>
      <c r="K9" s="12">
        <v>7.05</v>
      </c>
      <c r="L9" s="12">
        <v>7.02</v>
      </c>
      <c r="M9" s="12">
        <v>7.02</v>
      </c>
      <c r="N9" s="12">
        <v>7.02</v>
      </c>
      <c r="O9" s="12">
        <v>6.87</v>
      </c>
      <c r="P9" s="12">
        <v>5.84</v>
      </c>
      <c r="Q9" s="12">
        <v>4.03</v>
      </c>
      <c r="R9" s="12">
        <v>5</v>
      </c>
      <c r="S9" s="12">
        <v>4.03</v>
      </c>
      <c r="T9" s="12">
        <v>5</v>
      </c>
    </row>
    <row r="10" spans="1:20" x14ac:dyDescent="0.25">
      <c r="A10" s="5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2">
        <v>0.16</v>
      </c>
      <c r="H10" s="12">
        <v>0.16</v>
      </c>
      <c r="I10" s="12">
        <v>0.86</v>
      </c>
      <c r="J10" s="12">
        <v>0.52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</row>
    <row r="11" spans="1:20" x14ac:dyDescent="0.25">
      <c r="A11" s="5" t="s">
        <v>15</v>
      </c>
      <c r="B11" s="12">
        <v>1.78</v>
      </c>
      <c r="C11" s="12">
        <v>1.78</v>
      </c>
      <c r="D11" s="12">
        <v>1.78</v>
      </c>
      <c r="E11" s="12">
        <v>1.78</v>
      </c>
      <c r="F11" s="12">
        <v>1.78</v>
      </c>
      <c r="G11" s="12">
        <v>1.78</v>
      </c>
      <c r="H11" s="12">
        <v>1.78</v>
      </c>
      <c r="I11" s="12">
        <v>1.78</v>
      </c>
      <c r="J11" s="12">
        <v>1.78</v>
      </c>
      <c r="K11" s="12">
        <v>1.78</v>
      </c>
      <c r="L11" s="12">
        <v>1.78</v>
      </c>
      <c r="M11" s="12">
        <v>1.78</v>
      </c>
      <c r="N11" s="12">
        <v>1.78</v>
      </c>
      <c r="O11" s="12">
        <v>1.78</v>
      </c>
      <c r="P11" s="12">
        <v>1.78</v>
      </c>
      <c r="Q11" s="12">
        <v>1.78</v>
      </c>
      <c r="R11" s="12">
        <v>1.78</v>
      </c>
      <c r="S11" s="12">
        <v>1.78</v>
      </c>
      <c r="T11" s="12">
        <v>1.78</v>
      </c>
    </row>
    <row r="12" spans="1:20" x14ac:dyDescent="0.25">
      <c r="A12" s="5" t="s">
        <v>16</v>
      </c>
      <c r="B12" s="12">
        <v>74.010000000000005</v>
      </c>
      <c r="C12" s="12">
        <v>74.19</v>
      </c>
      <c r="D12" s="12">
        <v>74.19</v>
      </c>
      <c r="E12" s="12">
        <v>74.19</v>
      </c>
      <c r="F12" s="12">
        <v>74.010000000000005</v>
      </c>
      <c r="G12" s="12">
        <v>71.849999999999994</v>
      </c>
      <c r="H12" s="12">
        <v>71.849999999999994</v>
      </c>
      <c r="I12" s="12">
        <v>62.52</v>
      </c>
      <c r="J12" s="12">
        <v>60.78</v>
      </c>
      <c r="K12" s="12">
        <v>46.27</v>
      </c>
      <c r="L12" s="12">
        <v>35.32</v>
      </c>
      <c r="M12" s="12">
        <v>35.32</v>
      </c>
      <c r="N12" s="12">
        <v>35.32</v>
      </c>
      <c r="O12" s="12">
        <v>48.61</v>
      </c>
      <c r="P12" s="12">
        <v>33.130000000000003</v>
      </c>
      <c r="Q12" s="12">
        <v>74.19</v>
      </c>
      <c r="R12" s="12">
        <v>74.010000000000005</v>
      </c>
      <c r="S12" s="12">
        <v>74.19</v>
      </c>
      <c r="T12" s="12">
        <v>74.010000000000005</v>
      </c>
    </row>
    <row r="13" spans="1:20" x14ac:dyDescent="0.25">
      <c r="A13" s="5" t="s">
        <v>17</v>
      </c>
      <c r="B13" s="12">
        <v>19.21</v>
      </c>
      <c r="C13" s="12">
        <v>20</v>
      </c>
      <c r="D13" s="12">
        <v>20</v>
      </c>
      <c r="E13" s="12">
        <v>20</v>
      </c>
      <c r="F13" s="12">
        <v>19.21</v>
      </c>
      <c r="G13" s="12">
        <v>18.68</v>
      </c>
      <c r="H13" s="12">
        <v>18.68</v>
      </c>
      <c r="I13" s="12">
        <v>16.18</v>
      </c>
      <c r="J13" s="12">
        <v>15.72</v>
      </c>
      <c r="K13" s="12">
        <v>13.99</v>
      </c>
      <c r="L13" s="12">
        <v>12.9</v>
      </c>
      <c r="M13" s="12">
        <v>12.9</v>
      </c>
      <c r="N13" s="12">
        <v>12.9</v>
      </c>
      <c r="O13" s="12">
        <v>9.67</v>
      </c>
      <c r="P13" s="12">
        <v>20</v>
      </c>
      <c r="Q13" s="12">
        <v>20</v>
      </c>
      <c r="R13" s="12">
        <v>19.21</v>
      </c>
      <c r="S13" s="12">
        <v>20</v>
      </c>
      <c r="T13" s="12">
        <v>19.21</v>
      </c>
    </row>
    <row r="14" spans="1:20" x14ac:dyDescent="0.25">
      <c r="A14" s="5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2">
        <v>1.93</v>
      </c>
      <c r="H14" s="12">
        <v>1.93</v>
      </c>
      <c r="I14" s="12">
        <v>10.199999999999999</v>
      </c>
      <c r="J14" s="12">
        <v>11.6</v>
      </c>
      <c r="K14" s="12">
        <v>24.52</v>
      </c>
      <c r="L14" s="12">
        <v>34.450000000000003</v>
      </c>
      <c r="M14" s="12">
        <v>34.450000000000003</v>
      </c>
      <c r="N14" s="12">
        <v>34.450000000000003</v>
      </c>
      <c r="O14" s="12">
        <v>21.99</v>
      </c>
      <c r="P14" s="12">
        <v>37.49</v>
      </c>
      <c r="Q14" s="12">
        <v>0</v>
      </c>
      <c r="R14" s="12">
        <v>0</v>
      </c>
      <c r="S14" s="12">
        <v>0</v>
      </c>
      <c r="T14" s="12">
        <v>0</v>
      </c>
    </row>
    <row r="15" spans="1:20" x14ac:dyDescent="0.25">
      <c r="A15" s="5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0.19</v>
      </c>
      <c r="H15" s="12">
        <v>0.19</v>
      </c>
      <c r="I15" s="12">
        <v>1.02</v>
      </c>
      <c r="J15" s="12">
        <v>1.1599999999999999</v>
      </c>
      <c r="K15" s="12">
        <v>1.1599999999999999</v>
      </c>
      <c r="L15" s="12">
        <v>1.1599999999999999</v>
      </c>
      <c r="M15" s="12">
        <v>1.1599999999999999</v>
      </c>
      <c r="N15" s="12">
        <v>1.1599999999999999</v>
      </c>
      <c r="O15" s="12">
        <v>0.93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</row>
    <row r="16" spans="1:20" x14ac:dyDescent="0.25">
      <c r="A16" s="5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</row>
    <row r="17" spans="1:20" x14ac:dyDescent="0.25">
      <c r="A17" s="5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0.41</v>
      </c>
      <c r="H17" s="12">
        <v>0.41</v>
      </c>
      <c r="I17" s="12">
        <v>2.1800000000000002</v>
      </c>
      <c r="J17" s="12">
        <v>2.48</v>
      </c>
      <c r="K17" s="12">
        <v>5.24</v>
      </c>
      <c r="L17" s="12">
        <v>7.36</v>
      </c>
      <c r="M17" s="12">
        <v>7.36</v>
      </c>
      <c r="N17" s="12">
        <v>7.36</v>
      </c>
      <c r="O17" s="12">
        <v>10.130000000000001</v>
      </c>
      <c r="P17" s="12">
        <v>1.76</v>
      </c>
      <c r="Q17" s="12">
        <v>0</v>
      </c>
      <c r="R17" s="12">
        <v>0</v>
      </c>
      <c r="S17" s="12">
        <v>0</v>
      </c>
      <c r="T17" s="12">
        <v>0</v>
      </c>
    </row>
    <row r="18" spans="1:20" x14ac:dyDescent="0.25">
      <c r="A18" s="8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x14ac:dyDescent="0.25">
      <c r="A19" s="5" t="s">
        <v>23</v>
      </c>
      <c r="B19" t="b">
        <v>1</v>
      </c>
      <c r="C19" t="b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</row>
    <row r="20" spans="1:20" x14ac:dyDescent="0.25">
      <c r="A20" s="5" t="s">
        <v>24</v>
      </c>
      <c r="B20" t="b">
        <v>1</v>
      </c>
      <c r="C20" t="b">
        <v>0</v>
      </c>
      <c r="D20" t="b">
        <v>1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>
      <selection activeCell="E15" sqref="E15"/>
    </sheetView>
  </sheetViews>
  <sheetFormatPr defaultRowHeight="15" x14ac:dyDescent="0.25"/>
  <sheetData>
    <row r="1" spans="1:3" x14ac:dyDescent="0.25">
      <c r="A1" s="10" t="s">
        <v>1</v>
      </c>
      <c r="B1">
        <v>20.000000000000011</v>
      </c>
      <c r="C1">
        <v>20.000000000000011</v>
      </c>
    </row>
    <row r="2" spans="1:3" x14ac:dyDescent="0.25">
      <c r="A2" s="11" t="s">
        <v>3</v>
      </c>
      <c r="B2" t="s">
        <v>4</v>
      </c>
    </row>
    <row r="3" spans="1:3" x14ac:dyDescent="0.25">
      <c r="A3" s="11" t="s">
        <v>5</v>
      </c>
      <c r="B3" t="s">
        <v>4</v>
      </c>
    </row>
    <row r="4" spans="1:3" x14ac:dyDescent="0.25">
      <c r="A4" s="11" t="s">
        <v>6</v>
      </c>
      <c r="B4" t="s">
        <v>4</v>
      </c>
    </row>
    <row r="5" spans="1:3" x14ac:dyDescent="0.25">
      <c r="A5" s="11" t="s">
        <v>7</v>
      </c>
      <c r="B5">
        <v>11825.709472255599</v>
      </c>
      <c r="C5">
        <v>11825.709472255599</v>
      </c>
    </row>
    <row r="6" spans="1:3" x14ac:dyDescent="0.25">
      <c r="A6" s="11" t="s">
        <v>9</v>
      </c>
      <c r="B6">
        <v>4024.640837013967</v>
      </c>
      <c r="C6">
        <v>4024.640837013967</v>
      </c>
    </row>
    <row r="7" spans="1:3" x14ac:dyDescent="0.25">
      <c r="A7" s="11" t="s">
        <v>10</v>
      </c>
      <c r="B7">
        <v>894.50556158166398</v>
      </c>
      <c r="C7">
        <v>894.50556158166398</v>
      </c>
    </row>
    <row r="8" spans="1:3" x14ac:dyDescent="0.25">
      <c r="A8" s="11" t="s">
        <v>11</v>
      </c>
      <c r="B8">
        <v>6906.5630736599669</v>
      </c>
      <c r="C8">
        <v>6906.5630736599669</v>
      </c>
    </row>
    <row r="9" spans="1:3" x14ac:dyDescent="0.25">
      <c r="A9" s="5" t="s">
        <v>12</v>
      </c>
      <c r="B9">
        <v>4.03</v>
      </c>
      <c r="C9">
        <v>4.03</v>
      </c>
    </row>
    <row r="10" spans="1:3" x14ac:dyDescent="0.25">
      <c r="A10" s="5" t="s">
        <v>14</v>
      </c>
      <c r="B10">
        <v>0</v>
      </c>
      <c r="C10">
        <v>0</v>
      </c>
    </row>
    <row r="11" spans="1:3" x14ac:dyDescent="0.25">
      <c r="A11" s="5" t="s">
        <v>15</v>
      </c>
      <c r="B11">
        <v>1.78</v>
      </c>
      <c r="C11">
        <v>1.78</v>
      </c>
    </row>
    <row r="12" spans="1:3" x14ac:dyDescent="0.25">
      <c r="A12" s="5" t="s">
        <v>16</v>
      </c>
      <c r="B12">
        <v>74.19</v>
      </c>
      <c r="C12">
        <v>74.19</v>
      </c>
    </row>
    <row r="13" spans="1:3" x14ac:dyDescent="0.25">
      <c r="A13" s="5" t="s">
        <v>17</v>
      </c>
      <c r="B13">
        <v>20</v>
      </c>
      <c r="C13">
        <v>20</v>
      </c>
    </row>
    <row r="14" spans="1:3" x14ac:dyDescent="0.25">
      <c r="A14" s="5" t="s">
        <v>18</v>
      </c>
      <c r="B14">
        <v>0</v>
      </c>
      <c r="C14">
        <v>0</v>
      </c>
    </row>
    <row r="15" spans="1:3" x14ac:dyDescent="0.25">
      <c r="A15" s="5" t="s">
        <v>19</v>
      </c>
      <c r="B15">
        <v>0</v>
      </c>
      <c r="C15">
        <v>0</v>
      </c>
    </row>
    <row r="16" spans="1:3" x14ac:dyDescent="0.25">
      <c r="A16" s="5" t="s">
        <v>20</v>
      </c>
      <c r="B16">
        <v>0</v>
      </c>
      <c r="C16">
        <v>0</v>
      </c>
    </row>
    <row r="17" spans="1:3" x14ac:dyDescent="0.25">
      <c r="A17" s="5" t="s">
        <v>21</v>
      </c>
      <c r="B17">
        <v>0</v>
      </c>
      <c r="C17">
        <v>0</v>
      </c>
    </row>
    <row r="18" spans="1:3" x14ac:dyDescent="0.25">
      <c r="A18" s="8" t="s">
        <v>22</v>
      </c>
      <c r="B18">
        <v>0</v>
      </c>
      <c r="C18">
        <v>0</v>
      </c>
    </row>
    <row r="19" spans="1:3" x14ac:dyDescent="0.25">
      <c r="A19" s="5" t="s">
        <v>23</v>
      </c>
    </row>
    <row r="20" spans="1:3" x14ac:dyDescent="0.25">
      <c r="A20" s="5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workbookViewId="0">
      <selection activeCell="J4" sqref="J4"/>
    </sheetView>
  </sheetViews>
  <sheetFormatPr defaultRowHeight="15" x14ac:dyDescent="0.25"/>
  <cols>
    <col min="5" max="6" width="11" bestFit="1" customWidth="1"/>
  </cols>
  <sheetData>
    <row r="1" spans="1:16" x14ac:dyDescent="0.25">
      <c r="A1" s="10" t="s">
        <v>1</v>
      </c>
      <c r="B1">
        <v>40</v>
      </c>
      <c r="C1">
        <v>30</v>
      </c>
      <c r="D1">
        <v>24.999999999999989</v>
      </c>
      <c r="E1">
        <v>20</v>
      </c>
      <c r="F1">
        <v>19</v>
      </c>
      <c r="G1">
        <v>49.999999999999993</v>
      </c>
      <c r="H1">
        <v>45</v>
      </c>
      <c r="I1">
        <v>33</v>
      </c>
      <c r="J1">
        <v>28</v>
      </c>
      <c r="K1">
        <v>23</v>
      </c>
      <c r="L1">
        <v>35</v>
      </c>
      <c r="M1">
        <v>36</v>
      </c>
      <c r="N1">
        <v>37.000000000000007</v>
      </c>
      <c r="O1">
        <v>38</v>
      </c>
      <c r="P1">
        <v>39.000000000000007</v>
      </c>
    </row>
    <row r="2" spans="1:16" x14ac:dyDescent="0.25">
      <c r="A2" s="11" t="s">
        <v>3</v>
      </c>
    </row>
    <row r="3" spans="1:16" x14ac:dyDescent="0.25">
      <c r="A3" s="11" t="s">
        <v>5</v>
      </c>
    </row>
    <row r="4" spans="1:16" x14ac:dyDescent="0.25">
      <c r="A4" s="11" t="s">
        <v>6</v>
      </c>
    </row>
    <row r="5" spans="1:16" x14ac:dyDescent="0.25">
      <c r="A5" s="11" t="s">
        <v>7</v>
      </c>
      <c r="B5">
        <v>5713.5511310970178</v>
      </c>
      <c r="C5">
        <v>7741.6914497967364</v>
      </c>
      <c r="D5">
        <v>9198.4681279462384</v>
      </c>
      <c r="E5">
        <v>11243.396163200159</v>
      </c>
      <c r="F5">
        <v>11771.822509349329</v>
      </c>
      <c r="G5">
        <v>4593.3586473149926</v>
      </c>
      <c r="H5">
        <v>5095.785598525872</v>
      </c>
      <c r="I5">
        <v>7062.4224286510434</v>
      </c>
      <c r="J5">
        <v>8268.0503610964424</v>
      </c>
      <c r="K5">
        <v>9936.0284636689448</v>
      </c>
      <c r="L5">
        <v>6669.7676700838401</v>
      </c>
      <c r="M5">
        <v>6447.9741083741646</v>
      </c>
      <c r="N5">
        <v>6280.215960519281</v>
      </c>
      <c r="O5">
        <v>6120.5805842614709</v>
      </c>
      <c r="P5">
        <v>5966.2428031122136</v>
      </c>
    </row>
    <row r="6" spans="1:16" x14ac:dyDescent="0.25">
      <c r="A6" s="11" t="s">
        <v>9</v>
      </c>
      <c r="B6">
        <v>1975.163920540127</v>
      </c>
      <c r="C6">
        <v>2854.135444544951</v>
      </c>
      <c r="D6">
        <v>3439.5864755445409</v>
      </c>
      <c r="E6">
        <v>4290.2949753513976</v>
      </c>
      <c r="F6">
        <v>4523.6131249373229</v>
      </c>
      <c r="G6">
        <v>1565.2685372453591</v>
      </c>
      <c r="H6">
        <v>1747.4442631541449</v>
      </c>
      <c r="I6">
        <v>2588.0213395451369</v>
      </c>
      <c r="J6">
        <v>3063.2250984733751</v>
      </c>
      <c r="K6">
        <v>3744.656260802426</v>
      </c>
      <c r="L6">
        <v>2435.9561366880998</v>
      </c>
      <c r="M6">
        <v>2322.948790604622</v>
      </c>
      <c r="N6">
        <v>2259.7218790948682</v>
      </c>
      <c r="O6">
        <v>2199.8226997698371</v>
      </c>
      <c r="P6">
        <v>2140.7099875659551</v>
      </c>
    </row>
    <row r="7" spans="1:16" x14ac:dyDescent="0.25">
      <c r="A7" s="11" t="s">
        <v>10</v>
      </c>
      <c r="B7">
        <v>442.06162506962272</v>
      </c>
      <c r="C7">
        <v>588.88698308575681</v>
      </c>
      <c r="D7">
        <v>711.51779692005027</v>
      </c>
      <c r="E7">
        <v>892.14500299256133</v>
      </c>
      <c r="F7">
        <v>943.59947445653415</v>
      </c>
      <c r="G7">
        <v>352.267289016456</v>
      </c>
      <c r="H7">
        <v>392.166165456003</v>
      </c>
      <c r="I7">
        <v>534.20242195087314</v>
      </c>
      <c r="J7">
        <v>632.43721525058822</v>
      </c>
      <c r="K7">
        <v>775.86979575709245</v>
      </c>
      <c r="L7">
        <v>503.000190750336</v>
      </c>
      <c r="M7">
        <v>490.01923275730388</v>
      </c>
      <c r="N7">
        <v>476.40887654939922</v>
      </c>
      <c r="O7">
        <v>463.51485487875271</v>
      </c>
      <c r="P7">
        <v>451.27554153716352</v>
      </c>
    </row>
    <row r="8" spans="1:16" x14ac:dyDescent="0.25">
      <c r="A8" s="11" t="s">
        <v>11</v>
      </c>
      <c r="B8">
        <v>3296.3255854872682</v>
      </c>
      <c r="C8">
        <v>4298.6690221660283</v>
      </c>
      <c r="D8">
        <v>5047.3638554816471</v>
      </c>
      <c r="E8">
        <v>6060.9561848562043</v>
      </c>
      <c r="F8">
        <v>6304.6099099554731</v>
      </c>
      <c r="G8">
        <v>2675.8228210531779</v>
      </c>
      <c r="H8">
        <v>2956.1751699157239</v>
      </c>
      <c r="I8">
        <v>3940.198667155033</v>
      </c>
      <c r="J8">
        <v>4572.3880473724803</v>
      </c>
      <c r="K8">
        <v>5415.5024071094294</v>
      </c>
      <c r="L8">
        <v>3730.81</v>
      </c>
      <c r="M8">
        <v>3635.0060850122381</v>
      </c>
      <c r="N8">
        <v>3544.0852048750139</v>
      </c>
      <c r="O8">
        <v>3457.2430296128819</v>
      </c>
      <c r="P8">
        <v>3374.2572740090959</v>
      </c>
    </row>
    <row r="9" spans="1:16" x14ac:dyDescent="0.25">
      <c r="A9" s="5" t="s">
        <v>12</v>
      </c>
      <c r="B9">
        <v>2.86</v>
      </c>
      <c r="C9">
        <v>7.35</v>
      </c>
      <c r="D9">
        <v>7.37</v>
      </c>
      <c r="E9">
        <v>5.24</v>
      </c>
      <c r="F9">
        <v>5.48</v>
      </c>
      <c r="G9">
        <v>2.2799999999999998</v>
      </c>
      <c r="H9">
        <v>2.57</v>
      </c>
      <c r="I9">
        <v>7.34</v>
      </c>
      <c r="J9">
        <v>7.36</v>
      </c>
      <c r="K9">
        <v>7.33</v>
      </c>
      <c r="L9">
        <v>7.34</v>
      </c>
      <c r="M9">
        <v>7.29</v>
      </c>
      <c r="N9">
        <v>7.29</v>
      </c>
      <c r="O9">
        <v>7.29</v>
      </c>
      <c r="P9">
        <v>7.2</v>
      </c>
    </row>
    <row r="10" spans="1:16" x14ac:dyDescent="0.25">
      <c r="A10" s="5" t="s">
        <v>14</v>
      </c>
      <c r="B10">
        <v>0</v>
      </c>
      <c r="C10">
        <v>0</v>
      </c>
      <c r="D10">
        <v>0</v>
      </c>
      <c r="E10">
        <v>0.04</v>
      </c>
      <c r="F10">
        <v>0.11</v>
      </c>
      <c r="G10">
        <v>0</v>
      </c>
      <c r="H10">
        <v>0</v>
      </c>
      <c r="I10">
        <v>0</v>
      </c>
      <c r="J10">
        <v>0</v>
      </c>
      <c r="K10">
        <v>0.02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 s="5" t="s">
        <v>15</v>
      </c>
      <c r="B11">
        <v>3.55</v>
      </c>
      <c r="C11">
        <v>2.67</v>
      </c>
      <c r="D11">
        <v>2.2200000000000002</v>
      </c>
      <c r="E11">
        <v>1.78</v>
      </c>
      <c r="F11">
        <v>1.69</v>
      </c>
      <c r="G11">
        <v>4.4400000000000004</v>
      </c>
      <c r="H11">
        <v>4</v>
      </c>
      <c r="I11">
        <v>2.93</v>
      </c>
      <c r="J11">
        <v>2.4900000000000002</v>
      </c>
      <c r="K11">
        <v>2.04</v>
      </c>
      <c r="L11">
        <v>3.11</v>
      </c>
      <c r="M11">
        <v>3.2</v>
      </c>
      <c r="N11">
        <v>3.29</v>
      </c>
      <c r="O11">
        <v>3.38</v>
      </c>
      <c r="P11">
        <v>3.47</v>
      </c>
    </row>
    <row r="12" spans="1:16" x14ac:dyDescent="0.25">
      <c r="A12" s="5" t="s">
        <v>16</v>
      </c>
      <c r="B12">
        <v>73.58</v>
      </c>
      <c r="C12">
        <v>4.6100000000000003</v>
      </c>
      <c r="D12">
        <v>3.84</v>
      </c>
      <c r="E12">
        <v>3.08</v>
      </c>
      <c r="F12">
        <v>2.92</v>
      </c>
      <c r="G12">
        <v>73.28</v>
      </c>
      <c r="H12">
        <v>73.430000000000007</v>
      </c>
      <c r="I12">
        <v>5.08</v>
      </c>
      <c r="J12">
        <v>4.3099999999999996</v>
      </c>
      <c r="K12">
        <v>3.54</v>
      </c>
      <c r="L12">
        <v>5.38</v>
      </c>
      <c r="M12">
        <v>27.59</v>
      </c>
      <c r="N12">
        <v>26.94</v>
      </c>
      <c r="O12">
        <v>26.3</v>
      </c>
      <c r="P12">
        <v>26.6</v>
      </c>
    </row>
    <row r="13" spans="1:16" x14ac:dyDescent="0.25">
      <c r="A13" s="5" t="s">
        <v>17</v>
      </c>
      <c r="B13">
        <v>20</v>
      </c>
      <c r="C13">
        <v>20</v>
      </c>
      <c r="D13">
        <v>20</v>
      </c>
      <c r="E13">
        <v>20</v>
      </c>
      <c r="F13">
        <v>20</v>
      </c>
      <c r="G13">
        <v>20</v>
      </c>
      <c r="H13">
        <v>20</v>
      </c>
      <c r="I13">
        <v>20</v>
      </c>
      <c r="J13">
        <v>20</v>
      </c>
      <c r="K13">
        <v>20</v>
      </c>
      <c r="L13">
        <v>20</v>
      </c>
      <c r="M13">
        <v>20</v>
      </c>
      <c r="N13">
        <v>20</v>
      </c>
      <c r="O13">
        <v>20</v>
      </c>
      <c r="P13">
        <v>20</v>
      </c>
    </row>
    <row r="14" spans="1:16" x14ac:dyDescent="0.25">
      <c r="A14" s="5" t="s">
        <v>18</v>
      </c>
      <c r="B14">
        <v>0</v>
      </c>
      <c r="C14">
        <v>63.17</v>
      </c>
      <c r="D14">
        <v>64.040000000000006</v>
      </c>
      <c r="E14">
        <v>65.11</v>
      </c>
      <c r="F14">
        <v>65.27</v>
      </c>
      <c r="G14">
        <v>0</v>
      </c>
      <c r="H14">
        <v>0</v>
      </c>
      <c r="I14">
        <v>62.65</v>
      </c>
      <c r="J14">
        <v>63.52</v>
      </c>
      <c r="K14">
        <v>64.400000000000006</v>
      </c>
      <c r="L14">
        <v>62.31</v>
      </c>
      <c r="M14">
        <v>41.92</v>
      </c>
      <c r="N14">
        <v>42.48</v>
      </c>
      <c r="O14">
        <v>43.04</v>
      </c>
      <c r="P14">
        <v>42.73</v>
      </c>
    </row>
    <row r="15" spans="1:16" x14ac:dyDescent="0.25">
      <c r="A15" s="5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 s="5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 s="5" t="s">
        <v>21</v>
      </c>
      <c r="B17">
        <v>0</v>
      </c>
      <c r="C17">
        <v>2.19</v>
      </c>
      <c r="D17">
        <v>2.52</v>
      </c>
      <c r="E17">
        <v>4.76</v>
      </c>
      <c r="F17">
        <v>4.5199999999999996</v>
      </c>
      <c r="G17">
        <v>0</v>
      </c>
      <c r="H17">
        <v>0</v>
      </c>
      <c r="I17">
        <v>2</v>
      </c>
      <c r="J17">
        <v>2.3199999999999998</v>
      </c>
      <c r="K17">
        <v>2.67</v>
      </c>
      <c r="L17">
        <v>1.87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s="8" t="s">
        <v>22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s="5" t="s">
        <v>23</v>
      </c>
    </row>
    <row r="20" spans="1:16" x14ac:dyDescent="0.25">
      <c r="A20" s="5" t="s">
        <v>24</v>
      </c>
    </row>
    <row r="21" spans="1:16" x14ac:dyDescent="0.25">
      <c r="B21">
        <f t="shared" ref="B21:P21" si="0">B7/(B7+B6)</f>
        <v>0.18287975893375388</v>
      </c>
      <c r="C21">
        <f t="shared" si="0"/>
        <v>0.17103780049756903</v>
      </c>
      <c r="D21">
        <f t="shared" si="0"/>
        <v>0.17140446257631786</v>
      </c>
      <c r="E21">
        <f t="shared" si="0"/>
        <v>0.17214767690906185</v>
      </c>
      <c r="F21">
        <f t="shared" si="0"/>
        <v>0.17259242389095128</v>
      </c>
      <c r="G21">
        <f t="shared" si="0"/>
        <v>0.183708321999486</v>
      </c>
      <c r="H21">
        <f t="shared" si="0"/>
        <v>0.18328858385250393</v>
      </c>
      <c r="I21">
        <f t="shared" si="0"/>
        <v>0.17109677677134538</v>
      </c>
      <c r="J21">
        <f t="shared" si="0"/>
        <v>0.17112960047838027</v>
      </c>
      <c r="K21">
        <f t="shared" si="0"/>
        <v>0.17163263435485901</v>
      </c>
      <c r="L21">
        <f t="shared" si="0"/>
        <v>0.17114925664402295</v>
      </c>
      <c r="M21">
        <f t="shared" si="0"/>
        <v>0.17420007219693032</v>
      </c>
      <c r="N21">
        <f t="shared" si="0"/>
        <v>0.17411773014379234</v>
      </c>
      <c r="O21">
        <f t="shared" si="0"/>
        <v>0.17403533925684103</v>
      </c>
      <c r="P21">
        <f t="shared" si="0"/>
        <v>0.17410419019326637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7"/>
  <sheetViews>
    <sheetView zoomScale="85" zoomScaleNormal="85" workbookViewId="0">
      <selection activeCell="AE25" sqref="AE25"/>
    </sheetView>
  </sheetViews>
  <sheetFormatPr defaultRowHeight="15" x14ac:dyDescent="0.25"/>
  <cols>
    <col min="1" max="1" width="19.140625" bestFit="1" customWidth="1"/>
    <col min="9" max="9" width="10" bestFit="1" customWidth="1"/>
    <col min="18" max="26" width="9.7109375" bestFit="1" customWidth="1"/>
    <col min="27" max="27" width="10.7109375" bestFit="1" customWidth="1"/>
    <col min="28" max="28" width="14.5703125" bestFit="1" customWidth="1"/>
    <col min="29" max="32" width="9.7109375" bestFit="1" customWidth="1"/>
  </cols>
  <sheetData>
    <row r="1" spans="1:33" x14ac:dyDescent="0.25">
      <c r="A1" s="10" t="s">
        <v>1</v>
      </c>
      <c r="B1">
        <v>50</v>
      </c>
      <c r="C1">
        <v>49.999999999999993</v>
      </c>
      <c r="D1">
        <v>50</v>
      </c>
      <c r="E1">
        <v>50</v>
      </c>
      <c r="F1">
        <v>20</v>
      </c>
      <c r="G1">
        <v>20</v>
      </c>
      <c r="H1">
        <v>20</v>
      </c>
      <c r="I1">
        <v>20</v>
      </c>
      <c r="J1">
        <v>23</v>
      </c>
      <c r="K1">
        <v>25</v>
      </c>
      <c r="L1">
        <v>28</v>
      </c>
      <c r="M1">
        <v>30</v>
      </c>
      <c r="N1">
        <v>33</v>
      </c>
      <c r="O1">
        <v>35.000000000000007</v>
      </c>
      <c r="P1">
        <v>40</v>
      </c>
      <c r="Q1">
        <v>45</v>
      </c>
      <c r="R1">
        <v>20.000000000000011</v>
      </c>
      <c r="S1">
        <v>20.000000000000011</v>
      </c>
      <c r="T1">
        <v>20.000000000000011</v>
      </c>
      <c r="U1">
        <v>20.000000000000011</v>
      </c>
      <c r="V1">
        <v>20</v>
      </c>
      <c r="W1">
        <v>20</v>
      </c>
      <c r="X1">
        <v>20.000000000000011</v>
      </c>
      <c r="Y1">
        <v>20</v>
      </c>
      <c r="Z1">
        <v>20</v>
      </c>
      <c r="AA1">
        <v>20.000000000000011</v>
      </c>
      <c r="AB1">
        <v>20</v>
      </c>
      <c r="AC1">
        <v>20</v>
      </c>
      <c r="AD1">
        <v>50</v>
      </c>
      <c r="AE1">
        <v>50</v>
      </c>
      <c r="AF1">
        <v>50</v>
      </c>
      <c r="AG1">
        <v>50</v>
      </c>
    </row>
    <row r="2" spans="1:33" x14ac:dyDescent="0.25">
      <c r="A2" s="11" t="s">
        <v>3</v>
      </c>
      <c r="B2" s="14">
        <v>7.1555559999999998</v>
      </c>
      <c r="C2" s="14">
        <v>7.1555559999999998</v>
      </c>
      <c r="D2" s="14">
        <v>7.1555559999999998</v>
      </c>
      <c r="E2" s="14">
        <v>7.1555559999999998</v>
      </c>
      <c r="F2" s="14">
        <v>7.1555559999999998</v>
      </c>
      <c r="G2" s="14">
        <v>7.1555559999999998</v>
      </c>
      <c r="H2" s="14">
        <v>7.1555559999999998</v>
      </c>
      <c r="I2" s="14">
        <v>7.1555559999999998</v>
      </c>
      <c r="J2" s="14">
        <v>7.1555559999999998</v>
      </c>
      <c r="K2" s="14">
        <v>7.1555559999999998</v>
      </c>
      <c r="L2" s="14">
        <v>7.1555559999999998</v>
      </c>
      <c r="M2" s="14">
        <v>7.1555559999999998</v>
      </c>
      <c r="N2" s="14">
        <v>7.1555559999999998</v>
      </c>
      <c r="O2" s="14">
        <v>7.1555559999999998</v>
      </c>
      <c r="P2" s="14">
        <v>7.1555559999999998</v>
      </c>
      <c r="Q2" s="14">
        <v>7.1555559999999998</v>
      </c>
      <c r="R2" s="14">
        <v>7.1555562541554156</v>
      </c>
      <c r="S2" s="14">
        <v>6.5025274285231323</v>
      </c>
      <c r="T2" s="14">
        <v>6.5025274285231323</v>
      </c>
      <c r="U2" s="14">
        <v>6.3175257296891161</v>
      </c>
      <c r="V2" s="14">
        <v>6.3175257296891161</v>
      </c>
      <c r="W2" s="14">
        <v>5.152912050461893</v>
      </c>
      <c r="X2" s="14">
        <v>5.152912050461893</v>
      </c>
      <c r="Y2" s="14">
        <v>4.6570550596305296</v>
      </c>
      <c r="Z2" s="14">
        <v>4.6570550596305296</v>
      </c>
      <c r="AA2" s="14">
        <v>4.6570550596305296</v>
      </c>
      <c r="AB2" s="14">
        <v>7.1555562541554156</v>
      </c>
      <c r="AC2" s="14">
        <v>4.6570550596305296</v>
      </c>
      <c r="AD2" s="14">
        <v>7.1555562541554156</v>
      </c>
      <c r="AE2" s="14">
        <v>6.3175257296891161</v>
      </c>
      <c r="AF2" s="14">
        <v>4.6570550596305296</v>
      </c>
      <c r="AG2" s="14">
        <v>4.6570550596305296</v>
      </c>
    </row>
    <row r="3" spans="1:33" x14ac:dyDescent="0.25">
      <c r="A3" s="11" t="s">
        <v>5</v>
      </c>
      <c r="B3" s="14">
        <v>5.4003480000000001</v>
      </c>
      <c r="C3" s="14">
        <v>5.4003480000000001</v>
      </c>
      <c r="D3" s="14">
        <v>5.4003480000000001</v>
      </c>
      <c r="E3" s="14">
        <v>5.4003480000000001</v>
      </c>
      <c r="F3" s="14">
        <v>5.4003480000000001</v>
      </c>
      <c r="G3" s="14">
        <v>5.4003480000000001</v>
      </c>
      <c r="H3" s="14">
        <v>5.4003480000000001</v>
      </c>
      <c r="I3" s="14">
        <v>5.4003480000000001</v>
      </c>
      <c r="J3" s="14">
        <v>5.4003480000000001</v>
      </c>
      <c r="K3" s="14">
        <v>5.4003480000000001</v>
      </c>
      <c r="L3" s="14">
        <v>5.4003480000000001</v>
      </c>
      <c r="M3" s="14">
        <v>5.4003480000000001</v>
      </c>
      <c r="N3" s="14">
        <v>5.4003480000000001</v>
      </c>
      <c r="O3" s="14">
        <v>5.4003480000000001</v>
      </c>
      <c r="P3" s="14">
        <v>5.4003480000000001</v>
      </c>
      <c r="Q3" s="14">
        <v>5.4003480000000001</v>
      </c>
      <c r="R3" s="14">
        <v>5.9117357790094571</v>
      </c>
      <c r="S3" s="14">
        <v>4.7119488257918896</v>
      </c>
      <c r="T3" s="14">
        <v>4.5101408359903159</v>
      </c>
      <c r="U3" s="14">
        <v>4.0672138151448927</v>
      </c>
      <c r="V3" s="14">
        <v>3.659665555746376</v>
      </c>
      <c r="W3" s="14">
        <v>3.2900729256067378</v>
      </c>
      <c r="X3" s="14">
        <v>3.0176688348470209</v>
      </c>
      <c r="Y3" s="14">
        <v>2.7067761711410601</v>
      </c>
      <c r="Z3" s="14">
        <v>2.2181517618861419</v>
      </c>
      <c r="AA3" s="14">
        <v>2.070141688138833</v>
      </c>
      <c r="AB3" s="14">
        <v>5.0192252900869141</v>
      </c>
      <c r="AC3" s="14">
        <v>1.804729825901729</v>
      </c>
      <c r="AD3" s="14">
        <v>5.9117357790094571</v>
      </c>
      <c r="AE3" s="14">
        <v>3.659665555746376</v>
      </c>
      <c r="AF3" s="14">
        <v>2.070141688138833</v>
      </c>
      <c r="AG3" s="14">
        <v>1.804729825901729</v>
      </c>
    </row>
    <row r="4" spans="1:33" x14ac:dyDescent="0.25">
      <c r="A4" s="11" t="s">
        <v>6</v>
      </c>
      <c r="B4" s="14">
        <v>7.7404549999999999</v>
      </c>
      <c r="C4" s="14">
        <v>7.7404549999999999</v>
      </c>
      <c r="D4" s="14">
        <v>7.7404549999999999</v>
      </c>
      <c r="E4" s="14">
        <v>7.7404549999999999</v>
      </c>
      <c r="F4" s="14">
        <v>7.7404549999999999</v>
      </c>
      <c r="G4" s="14">
        <v>7.7404549999999999</v>
      </c>
      <c r="H4" s="14">
        <v>7.7404549999999999</v>
      </c>
      <c r="I4" s="14">
        <v>7.7404549999999999</v>
      </c>
      <c r="J4" s="14">
        <v>7.7404549999999999</v>
      </c>
      <c r="K4" s="14">
        <v>7.7404549999999999</v>
      </c>
      <c r="L4" s="14">
        <v>7.7404549999999999</v>
      </c>
      <c r="M4" s="14">
        <v>7.7404549999999999</v>
      </c>
      <c r="N4" s="14">
        <v>7.7404549999999999</v>
      </c>
      <c r="O4" s="14">
        <v>7.7404549999999999</v>
      </c>
      <c r="P4" s="14">
        <v>7.7404549999999999</v>
      </c>
      <c r="Q4" s="14">
        <v>7.7404549999999999</v>
      </c>
      <c r="R4" s="14">
        <v>9.5970518243761624</v>
      </c>
      <c r="S4" s="14">
        <v>5.6735137479944484</v>
      </c>
      <c r="T4" s="14">
        <v>4.9070822375948344</v>
      </c>
      <c r="U4" s="14">
        <v>4.2808661083340489</v>
      </c>
      <c r="V4" s="14">
        <v>3.723297411059034</v>
      </c>
      <c r="W4" s="14">
        <v>3.196327967421337</v>
      </c>
      <c r="X4" s="14">
        <v>2.670861074405527</v>
      </c>
      <c r="Y4" s="14">
        <v>2.1125508340118579</v>
      </c>
      <c r="Z4" s="14">
        <v>1.4516233372182079</v>
      </c>
      <c r="AA4" s="14">
        <v>1.0128503777710749</v>
      </c>
      <c r="AB4" s="14">
        <v>6.7861404244151116</v>
      </c>
      <c r="AC4" s="14">
        <v>0.44833772657454352</v>
      </c>
      <c r="AD4" s="14">
        <v>9.5970518243761624</v>
      </c>
      <c r="AE4" s="14">
        <v>3.723297411059034</v>
      </c>
      <c r="AF4" s="14">
        <v>1.0128503777710749</v>
      </c>
      <c r="AG4" s="14">
        <v>0.44833772657454352</v>
      </c>
    </row>
    <row r="5" spans="1:33" x14ac:dyDescent="0.25">
      <c r="A5" s="11" t="s">
        <v>7</v>
      </c>
      <c r="B5" s="15">
        <v>4593.3586473149944</v>
      </c>
      <c r="C5" s="15">
        <v>4593.3586473149944</v>
      </c>
      <c r="D5" s="15">
        <v>3873.1368699856739</v>
      </c>
      <c r="E5" s="15">
        <v>3866.7346512292302</v>
      </c>
      <c r="F5" s="15">
        <v>11268.56737256268</v>
      </c>
      <c r="G5" s="15">
        <v>9440.659861137492</v>
      </c>
      <c r="H5" s="15">
        <v>11268.56737256268</v>
      </c>
      <c r="I5" s="15">
        <v>9440.6598611374902</v>
      </c>
      <c r="J5" s="15">
        <v>8266.6477171532624</v>
      </c>
      <c r="K5" s="15">
        <v>7664.0786855825081</v>
      </c>
      <c r="L5" s="15">
        <v>6901.8251071448249</v>
      </c>
      <c r="M5" s="15">
        <v>6468.9157360571244</v>
      </c>
      <c r="N5" s="15">
        <v>5908.3427796194565</v>
      </c>
      <c r="O5" s="15">
        <v>5476.7710572008482</v>
      </c>
      <c r="P5" s="15">
        <v>4816.8029442358657</v>
      </c>
      <c r="Q5" s="15">
        <v>4292.6548064558956</v>
      </c>
      <c r="R5" s="15">
        <v>9440.6598611374902</v>
      </c>
      <c r="S5" s="15">
        <v>9451.1000441054384</v>
      </c>
      <c r="T5" s="15">
        <v>9471.4706425834083</v>
      </c>
      <c r="U5" s="15">
        <v>9495.1925067797147</v>
      </c>
      <c r="V5" s="15">
        <v>9551.2698772100048</v>
      </c>
      <c r="W5" s="15">
        <v>9594.7024569913447</v>
      </c>
      <c r="X5" s="15">
        <v>9640.3274229911403</v>
      </c>
      <c r="Y5" s="15">
        <v>9565.0974386275284</v>
      </c>
      <c r="Z5" s="15">
        <v>9926.8119676196784</v>
      </c>
      <c r="AA5" s="15">
        <v>10122.500489463089</v>
      </c>
      <c r="AB5" s="15">
        <v>9441.1534714786249</v>
      </c>
      <c r="AC5" s="15">
        <v>10648.590160582091</v>
      </c>
      <c r="AD5" s="15">
        <v>3866.7346512292302</v>
      </c>
      <c r="AE5" s="15">
        <v>3911.59835143185</v>
      </c>
      <c r="AF5" s="15">
        <v>4216.5483354940388</v>
      </c>
      <c r="AG5" s="15">
        <v>4473.5921132200983</v>
      </c>
    </row>
    <row r="6" spans="1:33" x14ac:dyDescent="0.25">
      <c r="A6" s="11" t="s">
        <v>9</v>
      </c>
      <c r="B6" s="15">
        <v>1565.2685372453591</v>
      </c>
      <c r="C6" s="15">
        <v>1935.910134757512</v>
      </c>
      <c r="D6" s="15">
        <v>1565.2685372453591</v>
      </c>
      <c r="E6" s="15">
        <v>1927.0748995846029</v>
      </c>
      <c r="F6" s="15">
        <v>4312.6934502591648</v>
      </c>
      <c r="G6" s="15">
        <v>4305.0136276746143</v>
      </c>
      <c r="H6" s="15">
        <v>5188.4184674262406</v>
      </c>
      <c r="I6" s="15">
        <v>5180.6269750621323</v>
      </c>
      <c r="J6" s="15">
        <v>4434.981064055155</v>
      </c>
      <c r="K6" s="15">
        <v>4077.3966426454199</v>
      </c>
      <c r="L6" s="15">
        <v>3636.80155197985</v>
      </c>
      <c r="M6" s="15">
        <v>3392.0265016100921</v>
      </c>
      <c r="N6" s="15">
        <v>3080.494619321305</v>
      </c>
      <c r="O6" s="15">
        <v>2790.649919134928</v>
      </c>
      <c r="P6" s="15">
        <v>2430.8269943222931</v>
      </c>
      <c r="Q6" s="15">
        <v>2150.9647194680201</v>
      </c>
      <c r="R6" s="15">
        <v>5184.4964306946658</v>
      </c>
      <c r="S6" s="15">
        <v>5166.9531138485881</v>
      </c>
      <c r="T6" s="15">
        <v>5164.0054875538954</v>
      </c>
      <c r="U6" s="15">
        <v>5151.0324886520721</v>
      </c>
      <c r="V6" s="15">
        <v>5138.3727445681316</v>
      </c>
      <c r="W6" s="15">
        <v>5099.7741398925727</v>
      </c>
      <c r="X6" s="15">
        <v>5056.645000388613</v>
      </c>
      <c r="Y6" s="15">
        <v>4785.5096919818152</v>
      </c>
      <c r="Z6" s="15">
        <v>4753.8800585706476</v>
      </c>
      <c r="AA6" s="15">
        <v>4698.7205364490283</v>
      </c>
      <c r="AB6" s="15">
        <v>5178.1914696215363</v>
      </c>
      <c r="AC6" s="15">
        <v>4781.9198220760509</v>
      </c>
      <c r="AD6" s="15">
        <v>1927.0748995846029</v>
      </c>
      <c r="AE6" s="15">
        <v>1896.8275199611969</v>
      </c>
      <c r="AF6" s="15">
        <v>1790.422510109466</v>
      </c>
      <c r="AG6" s="15">
        <v>1863.867735087701</v>
      </c>
    </row>
    <row r="7" spans="1:33" x14ac:dyDescent="0.25">
      <c r="A7" s="11" t="s">
        <v>10</v>
      </c>
      <c r="B7" s="15">
        <v>352.26950623341241</v>
      </c>
      <c r="C7" s="15">
        <v>352.26950623341241</v>
      </c>
      <c r="D7" s="15">
        <v>352.26950623341241</v>
      </c>
      <c r="E7" s="15">
        <v>350.3723284121308</v>
      </c>
      <c r="F7" s="15">
        <v>898.11062180749934</v>
      </c>
      <c r="G7" s="15">
        <v>899.0021021203529</v>
      </c>
      <c r="H7" s="15">
        <v>898.11062180749923</v>
      </c>
      <c r="I7" s="15">
        <v>899.0021021203529</v>
      </c>
      <c r="J7" s="15">
        <v>778.38461869354057</v>
      </c>
      <c r="K7" s="15">
        <v>713.85068947205207</v>
      </c>
      <c r="L7" s="15">
        <v>634.57585901180926</v>
      </c>
      <c r="M7" s="15">
        <v>590.82111847041006</v>
      </c>
      <c r="N7" s="15">
        <v>535.81052337005906</v>
      </c>
      <c r="O7" s="15">
        <v>504.9406488028161</v>
      </c>
      <c r="P7" s="15">
        <v>440.31779172965531</v>
      </c>
      <c r="Q7" s="15">
        <v>390.34808988658608</v>
      </c>
      <c r="R7" s="15">
        <v>899.00210212035256</v>
      </c>
      <c r="S7" s="15">
        <v>898.60028746347746</v>
      </c>
      <c r="T7" s="15">
        <v>898.66130000183273</v>
      </c>
      <c r="U7" s="15">
        <v>898.85509861206788</v>
      </c>
      <c r="V7" s="15">
        <v>896.96439808109039</v>
      </c>
      <c r="W7" s="15">
        <v>897.56950173304506</v>
      </c>
      <c r="X7" s="15">
        <v>898.42808663762105</v>
      </c>
      <c r="Y7" s="15">
        <v>914.1223749501462</v>
      </c>
      <c r="Z7" s="15">
        <v>912.07927356941059</v>
      </c>
      <c r="AA7" s="15">
        <v>916.95508494797923</v>
      </c>
      <c r="AB7" s="15">
        <v>899.00889149282864</v>
      </c>
      <c r="AC7" s="15">
        <v>894.44566511459368</v>
      </c>
      <c r="AD7" s="15">
        <v>350.3723284121308</v>
      </c>
      <c r="AE7" s="15">
        <v>348.6844440475287</v>
      </c>
      <c r="AF7" s="15">
        <v>349.11112073135217</v>
      </c>
      <c r="AG7" s="15">
        <v>350.2837743110498</v>
      </c>
    </row>
    <row r="8" spans="1:33" x14ac:dyDescent="0.25">
      <c r="A8" s="11" t="s">
        <v>11</v>
      </c>
      <c r="B8" s="15">
        <v>2675.8206038362218</v>
      </c>
      <c r="C8" s="15">
        <v>2305.1790063240692</v>
      </c>
      <c r="D8" s="15">
        <v>1955.5988265069029</v>
      </c>
      <c r="E8" s="15">
        <v>1589.2874232324959</v>
      </c>
      <c r="F8" s="15">
        <v>6057.7633004960144</v>
      </c>
      <c r="G8" s="15">
        <v>4236.6441313425248</v>
      </c>
      <c r="H8" s="15">
        <v>5182.0382833289377</v>
      </c>
      <c r="I8" s="15">
        <v>3361.0307839550051</v>
      </c>
      <c r="J8" s="15">
        <v>3053.2820344045672</v>
      </c>
      <c r="K8" s="15">
        <v>2872.831353465036</v>
      </c>
      <c r="L8" s="15">
        <v>2630.447696153165</v>
      </c>
      <c r="M8" s="15">
        <v>2486.0681159766232</v>
      </c>
      <c r="N8" s="15">
        <v>2292.0376369280912</v>
      </c>
      <c r="O8" s="15">
        <v>2181.1804892631039</v>
      </c>
      <c r="P8" s="15">
        <v>1945.6581581839171</v>
      </c>
      <c r="Q8" s="15">
        <v>1751.34199710129</v>
      </c>
      <c r="R8" s="15">
        <v>3357.161328322471</v>
      </c>
      <c r="S8" s="15">
        <v>3385.546642793372</v>
      </c>
      <c r="T8" s="15">
        <v>3408.803855027681</v>
      </c>
      <c r="U8" s="15">
        <v>3445.304919515575</v>
      </c>
      <c r="V8" s="15">
        <v>3515.932734560783</v>
      </c>
      <c r="W8" s="15">
        <v>3597.358815365727</v>
      </c>
      <c r="X8" s="15">
        <v>3685.2543359649062</v>
      </c>
      <c r="Y8" s="15">
        <v>3865.4653716955668</v>
      </c>
      <c r="Z8" s="15">
        <v>4260.8526354796204</v>
      </c>
      <c r="AA8" s="15">
        <v>4506.8248680660872</v>
      </c>
      <c r="AB8" s="15">
        <v>3363.9531103642598</v>
      </c>
      <c r="AC8" s="15">
        <v>4972.2246733914481</v>
      </c>
      <c r="AD8" s="15">
        <v>1589.2874232324959</v>
      </c>
      <c r="AE8" s="15">
        <v>1666.086387423125</v>
      </c>
      <c r="AF8" s="15">
        <v>2077.0147046532202</v>
      </c>
      <c r="AG8" s="15">
        <v>2259.4406038213478</v>
      </c>
    </row>
    <row r="9" spans="1:33" x14ac:dyDescent="0.25">
      <c r="A9" s="5" t="s">
        <v>12</v>
      </c>
      <c r="B9" s="12">
        <v>2.2799999999999998</v>
      </c>
      <c r="C9" s="12">
        <v>2.2799999999999998</v>
      </c>
      <c r="D9" s="12">
        <v>2.2799999999999998</v>
      </c>
      <c r="E9" s="12">
        <v>7.02</v>
      </c>
      <c r="F9" s="12">
        <v>7.08</v>
      </c>
      <c r="G9" s="12">
        <v>7.37</v>
      </c>
      <c r="H9" s="12">
        <v>7.08</v>
      </c>
      <c r="I9" s="12">
        <v>7.37</v>
      </c>
      <c r="J9" s="12">
        <v>7.32</v>
      </c>
      <c r="K9" s="12">
        <v>7.32</v>
      </c>
      <c r="L9" s="12">
        <v>7.31</v>
      </c>
      <c r="M9" s="12">
        <v>7.31</v>
      </c>
      <c r="N9" s="12">
        <v>7.3</v>
      </c>
      <c r="O9" s="12">
        <v>7.09</v>
      </c>
      <c r="P9" s="12">
        <v>7.07</v>
      </c>
      <c r="Q9" s="12">
        <v>7.04</v>
      </c>
      <c r="R9" s="14">
        <v>7.37</v>
      </c>
      <c r="S9" s="14">
        <v>7.37</v>
      </c>
      <c r="T9" s="14">
        <v>7.37</v>
      </c>
      <c r="U9" s="14">
        <v>7.35</v>
      </c>
      <c r="V9" s="14">
        <v>6.67</v>
      </c>
      <c r="W9" s="14">
        <v>6.85</v>
      </c>
      <c r="X9" s="14">
        <v>7.29</v>
      </c>
      <c r="Y9" s="14">
        <v>6.97</v>
      </c>
      <c r="Z9" s="14">
        <v>7.02</v>
      </c>
      <c r="AA9" s="14">
        <v>6.7</v>
      </c>
      <c r="AB9" s="12">
        <v>7.37</v>
      </c>
      <c r="AC9" s="14">
        <v>5.92</v>
      </c>
      <c r="AD9" s="14">
        <v>7.02</v>
      </c>
      <c r="AE9" s="14">
        <v>6.92</v>
      </c>
      <c r="AF9" s="14">
        <v>6.71</v>
      </c>
      <c r="AG9" s="14">
        <v>5.98</v>
      </c>
    </row>
    <row r="10" spans="1:33" x14ac:dyDescent="0.25">
      <c r="A10" s="5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0.14000000000000001</v>
      </c>
      <c r="G10" s="12">
        <v>0</v>
      </c>
      <c r="H10" s="12">
        <v>0.14000000000000001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0.17</v>
      </c>
      <c r="W10" s="14">
        <v>0.22</v>
      </c>
      <c r="X10" s="14">
        <v>0</v>
      </c>
      <c r="Y10" s="14">
        <v>0</v>
      </c>
      <c r="Z10" s="14">
        <v>0</v>
      </c>
      <c r="AA10" s="14">
        <v>0.14000000000000001</v>
      </c>
      <c r="AB10" s="12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1:33" x14ac:dyDescent="0.25">
      <c r="A11" s="5" t="s">
        <v>15</v>
      </c>
      <c r="B11" s="12">
        <v>4.4400000000000004</v>
      </c>
      <c r="C11" s="12">
        <v>4.4400000000000004</v>
      </c>
      <c r="D11" s="12">
        <v>4.4400000000000004</v>
      </c>
      <c r="E11" s="12">
        <v>4.4400000000000004</v>
      </c>
      <c r="F11" s="12">
        <v>1.83</v>
      </c>
      <c r="G11" s="12">
        <v>2.11</v>
      </c>
      <c r="H11" s="12">
        <v>1.83</v>
      </c>
      <c r="I11" s="12">
        <v>2.11</v>
      </c>
      <c r="J11" s="12">
        <v>2.04</v>
      </c>
      <c r="K11" s="12">
        <v>2.2200000000000002</v>
      </c>
      <c r="L11" s="12">
        <v>2.4900000000000002</v>
      </c>
      <c r="M11" s="12">
        <v>2.67</v>
      </c>
      <c r="N11" s="12">
        <v>2.93</v>
      </c>
      <c r="O11" s="12">
        <v>3.11</v>
      </c>
      <c r="P11" s="12">
        <v>3.55</v>
      </c>
      <c r="Q11" s="12">
        <v>4</v>
      </c>
      <c r="R11" s="14">
        <v>2.11</v>
      </c>
      <c r="S11" s="14">
        <v>2.21</v>
      </c>
      <c r="T11" s="14">
        <v>2.14</v>
      </c>
      <c r="U11" s="14">
        <v>2.19</v>
      </c>
      <c r="V11" s="14">
        <v>1.78</v>
      </c>
      <c r="W11" s="14">
        <v>1.78</v>
      </c>
      <c r="X11" s="14">
        <v>2.19</v>
      </c>
      <c r="Y11" s="14">
        <v>3.09</v>
      </c>
      <c r="Z11" s="14">
        <v>2.2799999999999998</v>
      </c>
      <c r="AA11" s="14">
        <v>1.78</v>
      </c>
      <c r="AB11" s="12">
        <v>2.1</v>
      </c>
      <c r="AC11" s="14">
        <v>1.78</v>
      </c>
      <c r="AD11" s="14">
        <v>4.4400000000000004</v>
      </c>
      <c r="AE11" s="14">
        <v>4.4400000000000004</v>
      </c>
      <c r="AF11" s="14">
        <v>4.4400000000000004</v>
      </c>
      <c r="AG11" s="14">
        <v>4.4400000000000004</v>
      </c>
    </row>
    <row r="12" spans="1:33" x14ac:dyDescent="0.25">
      <c r="A12" s="5" t="s">
        <v>16</v>
      </c>
      <c r="B12" s="12">
        <v>73.28</v>
      </c>
      <c r="C12" s="12">
        <v>73.28</v>
      </c>
      <c r="D12" s="12">
        <v>73.28</v>
      </c>
      <c r="E12" s="12">
        <v>72.41</v>
      </c>
      <c r="F12" s="12">
        <v>3.08</v>
      </c>
      <c r="G12" s="12">
        <v>3.37</v>
      </c>
      <c r="H12" s="12">
        <v>3.08</v>
      </c>
      <c r="I12" s="12">
        <v>3.37</v>
      </c>
      <c r="J12" s="12">
        <v>36.01</v>
      </c>
      <c r="K12" s="12">
        <v>34.72</v>
      </c>
      <c r="L12" s="12">
        <v>32.770000000000003</v>
      </c>
      <c r="M12" s="12">
        <v>31.48</v>
      </c>
      <c r="N12" s="12">
        <v>29.53</v>
      </c>
      <c r="O12" s="12">
        <v>73.010000000000005</v>
      </c>
      <c r="P12" s="12">
        <v>72.81</v>
      </c>
      <c r="Q12" s="12">
        <v>72.61</v>
      </c>
      <c r="R12" s="14">
        <v>3.37</v>
      </c>
      <c r="S12" s="14">
        <v>3.08</v>
      </c>
      <c r="T12" s="14">
        <v>3.74</v>
      </c>
      <c r="U12" s="14">
        <v>4.58</v>
      </c>
      <c r="V12" s="14">
        <v>5.0599999999999996</v>
      </c>
      <c r="W12" s="14">
        <v>5.71</v>
      </c>
      <c r="X12" s="14">
        <v>7.01</v>
      </c>
      <c r="Y12" s="14">
        <v>8.2899999999999991</v>
      </c>
      <c r="Z12" s="14">
        <v>13.55</v>
      </c>
      <c r="AA12" s="14">
        <v>16.18</v>
      </c>
      <c r="AB12" s="12">
        <v>3.37</v>
      </c>
      <c r="AC12" s="14">
        <v>28.39</v>
      </c>
      <c r="AD12" s="14">
        <v>72.41</v>
      </c>
      <c r="AE12" s="14">
        <v>56.77</v>
      </c>
      <c r="AF12" s="14">
        <v>44.84</v>
      </c>
      <c r="AG12" s="14">
        <v>32.64</v>
      </c>
    </row>
    <row r="13" spans="1:33" x14ac:dyDescent="0.25">
      <c r="A13" s="5" t="s">
        <v>17</v>
      </c>
      <c r="B13" s="12">
        <v>20</v>
      </c>
      <c r="C13" s="12">
        <v>20</v>
      </c>
      <c r="D13" s="12">
        <v>20</v>
      </c>
      <c r="E13" s="12">
        <v>16.13</v>
      </c>
      <c r="F13" s="12">
        <v>20</v>
      </c>
      <c r="G13" s="12">
        <v>20</v>
      </c>
      <c r="H13" s="12">
        <v>20</v>
      </c>
      <c r="I13" s="12">
        <v>20</v>
      </c>
      <c r="J13" s="12">
        <v>20</v>
      </c>
      <c r="K13" s="12">
        <v>20</v>
      </c>
      <c r="L13" s="12">
        <v>20</v>
      </c>
      <c r="M13" s="12">
        <v>20</v>
      </c>
      <c r="N13" s="12">
        <v>20</v>
      </c>
      <c r="O13" s="12">
        <v>16.79</v>
      </c>
      <c r="P13" s="12">
        <v>16.57</v>
      </c>
      <c r="Q13" s="12">
        <v>16.350000000000001</v>
      </c>
      <c r="R13" s="14">
        <v>20</v>
      </c>
      <c r="S13" s="14">
        <v>20</v>
      </c>
      <c r="T13" s="14">
        <v>20</v>
      </c>
      <c r="U13" s="14">
        <v>20</v>
      </c>
      <c r="V13" s="14">
        <v>20</v>
      </c>
      <c r="W13" s="14">
        <v>19.170000000000002</v>
      </c>
      <c r="X13" s="14">
        <v>18.55</v>
      </c>
      <c r="Y13" s="14">
        <v>11.58</v>
      </c>
      <c r="Z13" s="14">
        <v>12.31</v>
      </c>
      <c r="AA13" s="14">
        <v>11.38</v>
      </c>
      <c r="AB13" s="12">
        <v>20</v>
      </c>
      <c r="AC13" s="14">
        <v>20</v>
      </c>
      <c r="AD13" s="14">
        <v>16.13</v>
      </c>
      <c r="AE13" s="14">
        <v>13.79</v>
      </c>
      <c r="AF13" s="14">
        <v>8.58</v>
      </c>
      <c r="AG13" s="14">
        <v>20</v>
      </c>
    </row>
    <row r="14" spans="1:33" x14ac:dyDescent="0.25">
      <c r="A14" s="5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64.95</v>
      </c>
      <c r="G14" s="12">
        <v>64.52</v>
      </c>
      <c r="H14" s="12">
        <v>64.95</v>
      </c>
      <c r="I14" s="12">
        <v>64.52</v>
      </c>
      <c r="J14" s="12">
        <v>34.619999999999997</v>
      </c>
      <c r="K14" s="12">
        <v>35.74</v>
      </c>
      <c r="L14" s="12">
        <v>37.43</v>
      </c>
      <c r="M14" s="12">
        <v>38.549999999999997</v>
      </c>
      <c r="N14" s="12">
        <v>40.229999999999997</v>
      </c>
      <c r="O14" s="12">
        <v>0</v>
      </c>
      <c r="P14" s="12">
        <v>0</v>
      </c>
      <c r="Q14" s="12">
        <v>0</v>
      </c>
      <c r="R14" s="14">
        <v>64.52</v>
      </c>
      <c r="S14" s="14">
        <v>64.709999999999994</v>
      </c>
      <c r="T14" s="14">
        <v>64.11</v>
      </c>
      <c r="U14" s="14">
        <v>63.22</v>
      </c>
      <c r="V14" s="14">
        <v>62.99</v>
      </c>
      <c r="W14" s="14">
        <v>62.3</v>
      </c>
      <c r="X14" s="14">
        <v>60.8</v>
      </c>
      <c r="Y14" s="14">
        <v>58.62</v>
      </c>
      <c r="Z14" s="14">
        <v>54.17</v>
      </c>
      <c r="AA14" s="14">
        <v>51.91</v>
      </c>
      <c r="AB14" s="12">
        <v>64.53</v>
      </c>
      <c r="AC14" s="14">
        <v>41.76</v>
      </c>
      <c r="AD14" s="14">
        <v>0</v>
      </c>
      <c r="AE14" s="14">
        <v>13.87</v>
      </c>
      <c r="AF14" s="14">
        <v>24.11</v>
      </c>
      <c r="AG14" s="14">
        <v>36.94</v>
      </c>
    </row>
    <row r="15" spans="1:33" x14ac:dyDescent="0.25">
      <c r="A15" s="5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4">
        <v>0</v>
      </c>
      <c r="S15" s="14">
        <v>0.22</v>
      </c>
      <c r="T15" s="14">
        <v>0.28000000000000003</v>
      </c>
      <c r="U15" s="14">
        <v>0.84</v>
      </c>
      <c r="V15" s="14">
        <v>1.06</v>
      </c>
      <c r="W15" s="14">
        <v>1.1599999999999999</v>
      </c>
      <c r="X15" s="14">
        <v>1.1599999999999999</v>
      </c>
      <c r="Y15" s="14">
        <v>1.1599999999999999</v>
      </c>
      <c r="Z15" s="14">
        <v>1.1599999999999999</v>
      </c>
      <c r="AA15" s="14">
        <v>1.1599999999999999</v>
      </c>
      <c r="AB15" s="12">
        <v>0</v>
      </c>
      <c r="AC15" s="14">
        <v>0.39</v>
      </c>
      <c r="AD15" s="14">
        <v>0</v>
      </c>
      <c r="AE15" s="14">
        <v>1.34</v>
      </c>
      <c r="AF15" s="14">
        <v>2.33</v>
      </c>
      <c r="AG15" s="14">
        <v>0</v>
      </c>
    </row>
    <row r="16" spans="1:33" x14ac:dyDescent="0.25">
      <c r="A16" s="5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2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x14ac:dyDescent="0.25">
      <c r="A17" s="5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2.92</v>
      </c>
      <c r="G17" s="12">
        <v>2.63</v>
      </c>
      <c r="H17" s="12">
        <v>2.92</v>
      </c>
      <c r="I17" s="12">
        <v>2.63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4">
        <v>2.63</v>
      </c>
      <c r="S17" s="14">
        <v>2.42</v>
      </c>
      <c r="T17" s="14">
        <v>2.35</v>
      </c>
      <c r="U17" s="14">
        <v>1.8</v>
      </c>
      <c r="V17" s="14">
        <v>2.27</v>
      </c>
      <c r="W17" s="14">
        <v>2.82</v>
      </c>
      <c r="X17" s="14">
        <v>3</v>
      </c>
      <c r="Y17" s="14">
        <v>10.3</v>
      </c>
      <c r="Z17" s="14">
        <v>9.51</v>
      </c>
      <c r="AA17" s="14">
        <v>10.77</v>
      </c>
      <c r="AB17" s="12">
        <v>2.63</v>
      </c>
      <c r="AC17" s="14">
        <v>1.76</v>
      </c>
      <c r="AD17" s="14">
        <v>0</v>
      </c>
      <c r="AE17" s="14">
        <v>2.87</v>
      </c>
      <c r="AF17" s="14">
        <v>8.99</v>
      </c>
      <c r="AG17" s="14">
        <v>0</v>
      </c>
    </row>
    <row r="18" spans="1:33" x14ac:dyDescent="0.25">
      <c r="A18" s="8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4">
        <v>0</v>
      </c>
      <c r="S18" s="14">
        <v>0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2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x14ac:dyDescent="0.25">
      <c r="A19" s="5" t="s">
        <v>23</v>
      </c>
      <c r="B19" t="b">
        <v>0</v>
      </c>
      <c r="C19" t="b">
        <v>0</v>
      </c>
      <c r="D19" t="b">
        <v>1</v>
      </c>
      <c r="E19" t="b">
        <v>1</v>
      </c>
      <c r="F19" t="b">
        <v>0</v>
      </c>
      <c r="G19" t="b">
        <v>1</v>
      </c>
      <c r="H19" t="b">
        <v>0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1</v>
      </c>
    </row>
    <row r="20" spans="1:33" x14ac:dyDescent="0.25">
      <c r="A20" s="5" t="s">
        <v>24</v>
      </c>
      <c r="B20" t="b">
        <v>0</v>
      </c>
      <c r="C20" t="b">
        <v>1</v>
      </c>
      <c r="D20" t="b">
        <v>0</v>
      </c>
      <c r="E20" t="b">
        <v>1</v>
      </c>
      <c r="F20" t="b">
        <v>0</v>
      </c>
      <c r="G20" t="b">
        <v>0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b">
        <v>1</v>
      </c>
      <c r="W20" t="b">
        <v>1</v>
      </c>
      <c r="X20" t="b">
        <v>1</v>
      </c>
      <c r="Y20" t="b">
        <v>1</v>
      </c>
      <c r="Z20" t="b">
        <v>1</v>
      </c>
      <c r="AA20" t="b">
        <v>1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1</v>
      </c>
    </row>
    <row r="21" spans="1:33" x14ac:dyDescent="0.25">
      <c r="B21">
        <f>($B$8-B8)/$B$8</f>
        <v>0</v>
      </c>
      <c r="C21">
        <f>($B$8-C8)/$B$8</f>
        <v>0.13851511457112556</v>
      </c>
      <c r="D21">
        <f>($B$8-D8)/$B$8</f>
        <v>0.26915921653969044</v>
      </c>
      <c r="E21">
        <f>($B$8-E8)/$B$8</f>
        <v>0.40605606334221539</v>
      </c>
      <c r="F21">
        <f>($F$8-F8)/$F$8</f>
        <v>0</v>
      </c>
      <c r="G21">
        <f>($F$8-G8)/$F$8</f>
        <v>0.30062567301108889</v>
      </c>
      <c r="H21">
        <f>($F$8-H8)/$F$8</f>
        <v>0.1445624356262602</v>
      </c>
      <c r="I21">
        <f>($F$8-I8)/$F$8</f>
        <v>0.4451696744770795</v>
      </c>
    </row>
    <row r="22" spans="1:33" x14ac:dyDescent="0.25">
      <c r="A22" s="5" t="s">
        <v>25</v>
      </c>
      <c r="B22" s="15">
        <f t="shared" ref="B22:Q22" si="0">(2*1350+3179)/B1</f>
        <v>117.58</v>
      </c>
      <c r="C22" s="15">
        <f t="shared" si="0"/>
        <v>117.58000000000001</v>
      </c>
      <c r="D22" s="15">
        <f t="shared" si="0"/>
        <v>117.58</v>
      </c>
      <c r="E22" s="15">
        <f t="shared" si="0"/>
        <v>117.58</v>
      </c>
      <c r="F22" s="15">
        <f t="shared" si="0"/>
        <v>293.95</v>
      </c>
      <c r="G22" s="15">
        <f t="shared" si="0"/>
        <v>293.95</v>
      </c>
      <c r="H22" s="15">
        <f t="shared" si="0"/>
        <v>293.95</v>
      </c>
      <c r="I22" s="15">
        <f t="shared" si="0"/>
        <v>293.95</v>
      </c>
      <c r="J22" s="15">
        <f t="shared" si="0"/>
        <v>255.60869565217391</v>
      </c>
      <c r="K22" s="15">
        <f t="shared" si="0"/>
        <v>235.16</v>
      </c>
      <c r="L22" s="15">
        <f t="shared" si="0"/>
        <v>209.96428571428572</v>
      </c>
      <c r="M22" s="15">
        <f t="shared" si="0"/>
        <v>195.96666666666667</v>
      </c>
      <c r="N22" s="15">
        <f t="shared" si="0"/>
        <v>178.15151515151516</v>
      </c>
      <c r="O22" s="15">
        <f t="shared" si="0"/>
        <v>167.97142857142853</v>
      </c>
      <c r="P22" s="15">
        <f t="shared" si="0"/>
        <v>146.97499999999999</v>
      </c>
      <c r="Q22" s="15">
        <f t="shared" si="0"/>
        <v>130.64444444444445</v>
      </c>
    </row>
    <row r="23" spans="1:33" x14ac:dyDescent="0.25">
      <c r="A23" s="5" t="s">
        <v>26</v>
      </c>
      <c r="B23" s="15">
        <f t="shared" ref="B23:Q23" si="1">B5/B22</f>
        <v>39.06581601730732</v>
      </c>
      <c r="C23" s="15">
        <f t="shared" si="1"/>
        <v>39.065816017307313</v>
      </c>
      <c r="D23" s="15">
        <f t="shared" si="1"/>
        <v>32.940439445362088</v>
      </c>
      <c r="E23" s="15">
        <f t="shared" si="1"/>
        <v>32.885989549491669</v>
      </c>
      <c r="F23" s="15">
        <f t="shared" si="1"/>
        <v>38.334980005316147</v>
      </c>
      <c r="G23" s="15">
        <f t="shared" si="1"/>
        <v>32.116549961345441</v>
      </c>
      <c r="H23" s="15">
        <f t="shared" si="1"/>
        <v>38.334980005316147</v>
      </c>
      <c r="I23" s="15">
        <f t="shared" si="1"/>
        <v>32.116549961345434</v>
      </c>
      <c r="J23" s="15">
        <f t="shared" si="1"/>
        <v>32.341026959436135</v>
      </c>
      <c r="K23" s="15">
        <f t="shared" si="1"/>
        <v>32.590911233128544</v>
      </c>
      <c r="L23" s="15">
        <f t="shared" si="1"/>
        <v>32.871424221815801</v>
      </c>
      <c r="M23" s="15">
        <f t="shared" si="1"/>
        <v>33.010286116978008</v>
      </c>
      <c r="N23" s="15">
        <f t="shared" si="1"/>
        <v>33.164706876584802</v>
      </c>
      <c r="O23" s="15">
        <f t="shared" si="1"/>
        <v>32.605372852871191</v>
      </c>
      <c r="P23" s="15">
        <f t="shared" si="1"/>
        <v>32.772940596944146</v>
      </c>
      <c r="Q23" s="15">
        <f t="shared" si="1"/>
        <v>32.857538066085269</v>
      </c>
    </row>
    <row r="24" spans="1:33" x14ac:dyDescent="0.25">
      <c r="A24" s="5" t="s">
        <v>27</v>
      </c>
      <c r="B24" s="15">
        <f t="shared" ref="B24:Q24" si="2">B6/B22</f>
        <v>13.31237061783772</v>
      </c>
      <c r="C24" s="15">
        <f t="shared" si="2"/>
        <v>16.464620979397107</v>
      </c>
      <c r="D24" s="15">
        <f t="shared" si="2"/>
        <v>13.31237061783772</v>
      </c>
      <c r="E24" s="15">
        <f t="shared" si="2"/>
        <v>16.389478649299225</v>
      </c>
      <c r="F24" s="15">
        <f t="shared" si="2"/>
        <v>14.671520497564773</v>
      </c>
      <c r="G24" s="15">
        <f t="shared" si="2"/>
        <v>14.645394208792702</v>
      </c>
      <c r="H24" s="15">
        <f t="shared" si="2"/>
        <v>17.650683678946219</v>
      </c>
      <c r="I24" s="15">
        <f t="shared" si="2"/>
        <v>17.624177496384188</v>
      </c>
      <c r="J24" s="15">
        <f t="shared" si="2"/>
        <v>17.350665839984448</v>
      </c>
      <c r="K24" s="15">
        <f t="shared" si="2"/>
        <v>17.338818857992091</v>
      </c>
      <c r="L24" s="15">
        <f t="shared" si="2"/>
        <v>17.321048385003536</v>
      </c>
      <c r="M24" s="15">
        <f t="shared" si="2"/>
        <v>17.309201403011187</v>
      </c>
      <c r="N24" s="15">
        <f t="shared" si="2"/>
        <v>17.291430930022635</v>
      </c>
      <c r="O24" s="15">
        <f t="shared" si="2"/>
        <v>16.613836905889183</v>
      </c>
      <c r="P24" s="15">
        <f t="shared" si="2"/>
        <v>16.539050820359197</v>
      </c>
      <c r="Q24" s="15">
        <f t="shared" si="2"/>
        <v>16.464264734829207</v>
      </c>
    </row>
    <row r="25" spans="1:33" x14ac:dyDescent="0.25">
      <c r="A25" s="5" t="s">
        <v>28</v>
      </c>
      <c r="B25" s="15">
        <f t="shared" ref="B25:Q25" si="3">B7/B22</f>
        <v>2.9959985221416261</v>
      </c>
      <c r="C25" s="15">
        <f t="shared" si="3"/>
        <v>2.9959985221416261</v>
      </c>
      <c r="D25" s="15">
        <f t="shared" si="3"/>
        <v>2.9959985221416261</v>
      </c>
      <c r="E25" s="15">
        <f t="shared" si="3"/>
        <v>2.9798633135918591</v>
      </c>
      <c r="F25" s="15">
        <f t="shared" si="3"/>
        <v>3.0553176452032638</v>
      </c>
      <c r="G25" s="15">
        <f t="shared" si="3"/>
        <v>3.0583504069411562</v>
      </c>
      <c r="H25" s="15">
        <f t="shared" si="3"/>
        <v>3.0553176452032633</v>
      </c>
      <c r="I25" s="15">
        <f t="shared" si="3"/>
        <v>3.0583504069411562</v>
      </c>
      <c r="J25" s="15">
        <f t="shared" si="3"/>
        <v>3.0452196342832853</v>
      </c>
      <c r="K25" s="15">
        <f t="shared" si="3"/>
        <v>3.0355957198165169</v>
      </c>
      <c r="L25" s="15">
        <f t="shared" si="3"/>
        <v>3.0223038020633881</v>
      </c>
      <c r="M25" s="15">
        <f t="shared" si="3"/>
        <v>3.0149062007335092</v>
      </c>
      <c r="N25" s="15">
        <f t="shared" si="3"/>
        <v>3.0076113745895472</v>
      </c>
      <c r="O25" s="15">
        <f t="shared" si="3"/>
        <v>3.0061103432724217</v>
      </c>
      <c r="P25" s="15">
        <f t="shared" si="3"/>
        <v>2.995868628880118</v>
      </c>
      <c r="Q25" s="15">
        <f t="shared" si="3"/>
        <v>2.9878659712359878</v>
      </c>
    </row>
    <row r="27" spans="1:33" x14ac:dyDescent="0.25">
      <c r="A27" s="5" t="s">
        <v>29</v>
      </c>
      <c r="B27">
        <v>0.95</v>
      </c>
      <c r="C27">
        <v>0.95</v>
      </c>
      <c r="D27">
        <v>0.95</v>
      </c>
      <c r="E27">
        <v>0.95</v>
      </c>
      <c r="F27">
        <v>0.95</v>
      </c>
      <c r="G27">
        <v>0.95</v>
      </c>
      <c r="H27">
        <v>0.95</v>
      </c>
      <c r="I27">
        <v>0.95</v>
      </c>
      <c r="J27">
        <v>0.95</v>
      </c>
      <c r="K27">
        <v>0.95</v>
      </c>
      <c r="L27">
        <v>0.95</v>
      </c>
      <c r="M27">
        <v>0.95</v>
      </c>
      <c r="N27">
        <v>0.95</v>
      </c>
      <c r="O27">
        <v>0.95</v>
      </c>
      <c r="P27">
        <v>0.95</v>
      </c>
      <c r="Q27">
        <v>0.95</v>
      </c>
      <c r="R27">
        <v>0.99</v>
      </c>
      <c r="S27">
        <v>0.8</v>
      </c>
      <c r="T27">
        <v>0.7</v>
      </c>
      <c r="U27">
        <v>0.6</v>
      </c>
      <c r="V27">
        <v>0.5</v>
      </c>
      <c r="W27">
        <v>0.4</v>
      </c>
      <c r="X27">
        <v>0.3</v>
      </c>
      <c r="Y27">
        <v>0.2</v>
      </c>
      <c r="Z27">
        <v>0.1</v>
      </c>
      <c r="AA27">
        <v>0.05</v>
      </c>
      <c r="AB27">
        <v>0.9</v>
      </c>
      <c r="AC27">
        <v>0.01</v>
      </c>
      <c r="AD27">
        <v>0.99</v>
      </c>
      <c r="AE27">
        <v>0.5</v>
      </c>
      <c r="AF27">
        <v>0.05</v>
      </c>
      <c r="AG27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1"/>
  <sheetViews>
    <sheetView zoomScale="85" zoomScaleNormal="85" workbookViewId="0">
      <selection activeCell="G18" sqref="G18:S32"/>
    </sheetView>
  </sheetViews>
  <sheetFormatPr defaultRowHeight="15" x14ac:dyDescent="0.25"/>
  <cols>
    <col min="3" max="3" width="12.7109375" bestFit="1" customWidth="1"/>
    <col min="5" max="5" width="12.7109375" bestFit="1" customWidth="1"/>
  </cols>
  <sheetData>
    <row r="1" spans="1:30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</row>
    <row r="2" spans="1:30" x14ac:dyDescent="0.25">
      <c r="A2">
        <v>50</v>
      </c>
      <c r="B2" s="14">
        <v>7.1555559999999998</v>
      </c>
      <c r="C2" s="14">
        <v>5.4003480000000001</v>
      </c>
      <c r="D2" s="14">
        <v>7.7404549999999999</v>
      </c>
      <c r="E2" s="15">
        <v>4593.3586473149944</v>
      </c>
      <c r="F2" s="15">
        <v>1565.2685372453591</v>
      </c>
      <c r="G2" s="15">
        <v>352.26950623341241</v>
      </c>
      <c r="H2" s="24">
        <v>2675.8206038362218</v>
      </c>
      <c r="I2" s="12">
        <v>2.2799999999999998</v>
      </c>
      <c r="J2" s="12">
        <v>0</v>
      </c>
      <c r="K2" s="12">
        <v>4.4400000000000004</v>
      </c>
      <c r="L2" s="12">
        <v>73.28</v>
      </c>
      <c r="M2" s="12">
        <v>20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t="b">
        <v>0</v>
      </c>
      <c r="T2" t="b">
        <v>0</v>
      </c>
      <c r="U2">
        <f t="shared" ref="U2:U17" si="0">G2/(G2+F2)</f>
        <v>0.18370926586381039</v>
      </c>
      <c r="V2">
        <f t="shared" ref="V2:V17" si="1">M2+Q2+O2+P2+I2+R2</f>
        <v>22.28</v>
      </c>
      <c r="W2" s="24">
        <f t="array" ref="W2">SUMPRODUCT(I2:R2/100,$I$21:$R$21)</f>
        <v>0</v>
      </c>
      <c r="X2" s="24">
        <f t="array" ref="X2">SUMPRODUCT(I2:R2/100,$I$22:$R$22)</f>
        <v>0</v>
      </c>
      <c r="Y2" s="24">
        <f t="array" ref="Y2">SUMPRODUCT(I2:R2/100,$I$24:$R$24)</f>
        <v>0</v>
      </c>
      <c r="Z2" s="24">
        <f t="array" ref="Z2">SUMPRODUCT(I2:R2/100,$I$25:$R$25)</f>
        <v>0</v>
      </c>
      <c r="AA2" s="24">
        <f t="array" ref="AA2">SUMPRODUCT(I2:R2/100,$I$26:$R$26)</f>
        <v>0</v>
      </c>
      <c r="AB2" s="24">
        <f t="array" ref="AB2">SUMPRODUCT(I2:R2/100,$I$27:$R$27)</f>
        <v>0</v>
      </c>
      <c r="AC2" s="24">
        <f t="array" ref="AC2">SUMPRODUCT(I2:R2/100,$I$28:$R$28)</f>
        <v>0</v>
      </c>
      <c r="AD2" s="24">
        <f t="array" ref="AD2">SUMPRODUCT(I2:R2/100,$I$29:$R$29)</f>
        <v>0</v>
      </c>
    </row>
    <row r="3" spans="1:30" x14ac:dyDescent="0.25">
      <c r="A3">
        <v>49.999999999999993</v>
      </c>
      <c r="B3" s="14">
        <v>7.1555559999999998</v>
      </c>
      <c r="C3" s="14">
        <v>5.4003480000000001</v>
      </c>
      <c r="D3" s="14">
        <v>7.7404549999999999</v>
      </c>
      <c r="E3" s="15">
        <v>4593.3586473149944</v>
      </c>
      <c r="F3" s="15">
        <v>1935.910134757512</v>
      </c>
      <c r="G3" s="15">
        <v>352.26950623341241</v>
      </c>
      <c r="H3" s="24">
        <v>2305.1790063240692</v>
      </c>
      <c r="I3" s="12">
        <v>2.2799999999999998</v>
      </c>
      <c r="J3" s="12">
        <v>0</v>
      </c>
      <c r="K3" s="12">
        <v>4.4400000000000004</v>
      </c>
      <c r="L3" s="12">
        <v>73.28</v>
      </c>
      <c r="M3" s="12">
        <v>20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t="b">
        <v>0</v>
      </c>
      <c r="T3" t="b">
        <v>1</v>
      </c>
      <c r="U3">
        <f t="shared" si="0"/>
        <v>0.15395185759141611</v>
      </c>
      <c r="V3">
        <f t="shared" si="1"/>
        <v>22.28</v>
      </c>
      <c r="W3" s="24">
        <f t="array" ref="W3">SUMPRODUCT(I3:R3/100,$I$21:$R$21)</f>
        <v>0</v>
      </c>
      <c r="X3" s="24">
        <f t="array" ref="X3">SUMPRODUCT(I3:R3/100,$I$22:$R$22)</f>
        <v>0</v>
      </c>
      <c r="Y3" s="24">
        <f t="array" ref="Y3">SUMPRODUCT(I3:R3/100,$I$24:$R$24)</f>
        <v>0</v>
      </c>
      <c r="Z3" s="24">
        <f t="array" ref="Z3">SUMPRODUCT(I3:R3/100,$I$25:$R$25)</f>
        <v>0</v>
      </c>
      <c r="AA3" s="24">
        <f t="array" ref="AA3">SUMPRODUCT(I3:R3/100,$I$26:$R$26)</f>
        <v>0</v>
      </c>
      <c r="AB3" s="24">
        <f t="array" ref="AB3">SUMPRODUCT(I3:R3/100,$I$27:$R$27)</f>
        <v>0</v>
      </c>
      <c r="AC3" s="24">
        <f t="array" ref="AC3">SUMPRODUCT(I3:R3/100,$I$28:$R$28)</f>
        <v>0</v>
      </c>
      <c r="AD3" s="24">
        <f t="array" ref="AD3">SUMPRODUCT(I3:R3/100,$I$29:$R$29)</f>
        <v>0</v>
      </c>
    </row>
    <row r="4" spans="1:30" x14ac:dyDescent="0.25">
      <c r="A4">
        <v>50</v>
      </c>
      <c r="B4" s="14">
        <v>7.1555559999999998</v>
      </c>
      <c r="C4" s="14">
        <v>5.4003480000000001</v>
      </c>
      <c r="D4" s="14">
        <v>7.7404549999999999</v>
      </c>
      <c r="E4" s="15">
        <v>3873.1368699856739</v>
      </c>
      <c r="F4" s="15">
        <v>1565.2685372453591</v>
      </c>
      <c r="G4" s="15">
        <v>352.26950623341241</v>
      </c>
      <c r="H4" s="24">
        <v>1955.5988265069029</v>
      </c>
      <c r="I4" s="12">
        <v>2.2799999999999998</v>
      </c>
      <c r="J4" s="12">
        <v>0</v>
      </c>
      <c r="K4" s="12">
        <v>4.4400000000000004</v>
      </c>
      <c r="L4" s="12">
        <v>73.28</v>
      </c>
      <c r="M4" s="12">
        <v>20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t="b">
        <v>1</v>
      </c>
      <c r="T4" t="b">
        <v>0</v>
      </c>
      <c r="U4">
        <f t="shared" si="0"/>
        <v>0.18370926586381039</v>
      </c>
      <c r="V4">
        <f t="shared" si="1"/>
        <v>22.28</v>
      </c>
      <c r="W4" s="24">
        <f t="array" ref="W4">SUMPRODUCT(I4:R4/100,$I$21:$R$21)</f>
        <v>0</v>
      </c>
      <c r="X4" s="24">
        <f t="array" ref="X4">SUMPRODUCT(I4:R4/100,$I$22:$R$22)</f>
        <v>0</v>
      </c>
      <c r="Y4" s="24">
        <f t="array" ref="Y4">SUMPRODUCT(I4:R4/100,$I$24:$R$24)</f>
        <v>0</v>
      </c>
      <c r="Z4" s="24">
        <f t="array" ref="Z4">SUMPRODUCT(I4:R4/100,$I$25:$R$25)</f>
        <v>0</v>
      </c>
      <c r="AA4" s="24">
        <f t="array" ref="AA4">SUMPRODUCT(I4:R4/100,$I$26:$R$26)</f>
        <v>0</v>
      </c>
      <c r="AB4" s="24">
        <f t="array" ref="AB4">SUMPRODUCT(I4:R4/100,$I$27:$R$27)</f>
        <v>0</v>
      </c>
      <c r="AC4" s="24">
        <f t="array" ref="AC4">SUMPRODUCT(I4:R4/100,$I$28:$R$28)</f>
        <v>0</v>
      </c>
      <c r="AD4" s="24">
        <f t="array" ref="AD4">SUMPRODUCT(I4:R4/100,$I$29:$R$29)</f>
        <v>0</v>
      </c>
    </row>
    <row r="5" spans="1:30" x14ac:dyDescent="0.25">
      <c r="A5">
        <v>20</v>
      </c>
      <c r="B5" s="14">
        <v>7.1555559999999998</v>
      </c>
      <c r="C5" s="14">
        <v>5.4003480000000001</v>
      </c>
      <c r="D5" s="14">
        <v>7.7404549999999999</v>
      </c>
      <c r="E5" s="15">
        <v>11268.56737256268</v>
      </c>
      <c r="F5" s="15">
        <v>4312.6934502591648</v>
      </c>
      <c r="G5" s="15">
        <v>898.11062180749934</v>
      </c>
      <c r="H5" s="24">
        <v>6057.7633004960144</v>
      </c>
      <c r="I5" s="12">
        <v>7.08</v>
      </c>
      <c r="J5" s="12">
        <v>0.14000000000000001</v>
      </c>
      <c r="K5" s="12">
        <v>1.83</v>
      </c>
      <c r="L5" s="12">
        <v>3.08</v>
      </c>
      <c r="M5" s="12">
        <v>20</v>
      </c>
      <c r="N5" s="12">
        <v>64.95</v>
      </c>
      <c r="O5" s="12">
        <v>0</v>
      </c>
      <c r="P5" s="12">
        <v>0</v>
      </c>
      <c r="Q5" s="12">
        <v>2.92</v>
      </c>
      <c r="R5" s="12">
        <v>0</v>
      </c>
      <c r="S5" t="b">
        <v>0</v>
      </c>
      <c r="T5" t="b">
        <v>0</v>
      </c>
      <c r="U5">
        <f t="shared" si="0"/>
        <v>0.17235547707924057</v>
      </c>
      <c r="V5">
        <f t="shared" si="1"/>
        <v>30</v>
      </c>
      <c r="W5" s="24">
        <f t="array" ref="W5">SUMPRODUCT(I5:R5/100,$I$21:$R$21)</f>
        <v>0</v>
      </c>
      <c r="X5" s="24">
        <f t="array" ref="X5">SUMPRODUCT(I5:R5/100,$I$22:$R$22)</f>
        <v>0</v>
      </c>
      <c r="Y5" s="24">
        <f t="array" ref="Y5">SUMPRODUCT(I5:R5/100,$I$24:$R$24)</f>
        <v>0</v>
      </c>
      <c r="Z5" s="24">
        <f t="array" ref="Z5">SUMPRODUCT(I5:R5/100,$I$25:$R$25)</f>
        <v>0</v>
      </c>
      <c r="AA5" s="24">
        <f t="array" ref="AA5">SUMPRODUCT(I5:R5/100,$I$26:$R$26)</f>
        <v>0</v>
      </c>
      <c r="AB5" s="24">
        <f t="array" ref="AB5">SUMPRODUCT(I5:R5/100,$I$27:$R$27)</f>
        <v>0</v>
      </c>
      <c r="AC5" s="24">
        <f t="array" ref="AC5">SUMPRODUCT(I5:R5/100,$I$28:$R$28)</f>
        <v>0</v>
      </c>
      <c r="AD5" s="24">
        <f t="array" ref="AD5">SUMPRODUCT(I5:R5/100,$I$29:$R$29)</f>
        <v>0</v>
      </c>
    </row>
    <row r="6" spans="1:30" x14ac:dyDescent="0.25">
      <c r="A6">
        <v>20</v>
      </c>
      <c r="B6" s="14">
        <v>7.1555559999999998</v>
      </c>
      <c r="C6" s="14">
        <v>5.4003480000000001</v>
      </c>
      <c r="D6" s="14">
        <v>7.7404549999999999</v>
      </c>
      <c r="E6" s="15">
        <v>9440.659861137492</v>
      </c>
      <c r="F6" s="15">
        <v>4305.0136276746143</v>
      </c>
      <c r="G6" s="15">
        <v>899.0021021203529</v>
      </c>
      <c r="H6" s="24">
        <v>4236.6441313425248</v>
      </c>
      <c r="I6" s="12">
        <v>7.37</v>
      </c>
      <c r="J6" s="12">
        <v>0</v>
      </c>
      <c r="K6" s="12">
        <v>2.11</v>
      </c>
      <c r="L6" s="12">
        <v>3.37</v>
      </c>
      <c r="M6" s="12">
        <v>20</v>
      </c>
      <c r="N6" s="12">
        <v>64.52</v>
      </c>
      <c r="O6" s="12">
        <v>0</v>
      </c>
      <c r="P6" s="12">
        <v>0</v>
      </c>
      <c r="Q6" s="12">
        <v>2.63</v>
      </c>
      <c r="R6" s="12">
        <v>0</v>
      </c>
      <c r="S6" t="b">
        <v>1</v>
      </c>
      <c r="T6" t="b">
        <v>0</v>
      </c>
      <c r="U6">
        <f t="shared" si="0"/>
        <v>0.17275161121693469</v>
      </c>
      <c r="V6">
        <f t="shared" si="1"/>
        <v>30</v>
      </c>
      <c r="W6" s="24">
        <f t="array" ref="W6">SUMPRODUCT(I6:R6/100,$I$21:$R$21)</f>
        <v>0</v>
      </c>
      <c r="X6" s="24">
        <f t="array" ref="X6">SUMPRODUCT(I6:R6/100,$I$22:$R$22)</f>
        <v>0</v>
      </c>
      <c r="Y6" s="24">
        <f t="array" ref="Y6">SUMPRODUCT(I6:R6/100,$I$24:$R$24)</f>
        <v>0</v>
      </c>
      <c r="Z6" s="24">
        <f t="array" ref="Z6">SUMPRODUCT(I6:R6/100,$I$25:$R$25)</f>
        <v>0</v>
      </c>
      <c r="AA6" s="24">
        <f t="array" ref="AA6">SUMPRODUCT(I6:R6/100,$I$26:$R$26)</f>
        <v>0</v>
      </c>
      <c r="AB6" s="24">
        <f t="array" ref="AB6">SUMPRODUCT(I6:R6/100,$I$27:$R$27)</f>
        <v>0</v>
      </c>
      <c r="AC6" s="24">
        <f t="array" ref="AC6">SUMPRODUCT(I6:R6/100,$I$28:$R$28)</f>
        <v>0</v>
      </c>
      <c r="AD6" s="24">
        <f t="array" ref="AD6">SUMPRODUCT(I6:R6/100,$I$29:$R$29)</f>
        <v>0</v>
      </c>
    </row>
    <row r="7" spans="1:30" x14ac:dyDescent="0.25">
      <c r="A7">
        <v>20</v>
      </c>
      <c r="B7" s="14">
        <v>7.1555559999999998</v>
      </c>
      <c r="C7" s="14">
        <v>5.4003480000000001</v>
      </c>
      <c r="D7" s="14">
        <v>7.7404549999999999</v>
      </c>
      <c r="E7" s="15">
        <v>11268.56737256268</v>
      </c>
      <c r="F7" s="15">
        <v>5188.4184674262406</v>
      </c>
      <c r="G7" s="15">
        <v>898.11062180749923</v>
      </c>
      <c r="H7" s="24">
        <v>5182.0382833289377</v>
      </c>
      <c r="I7" s="12">
        <v>7.08</v>
      </c>
      <c r="J7" s="12">
        <v>0.14000000000000001</v>
      </c>
      <c r="K7" s="12">
        <v>1.83</v>
      </c>
      <c r="L7" s="12">
        <v>3.08</v>
      </c>
      <c r="M7" s="12">
        <v>20</v>
      </c>
      <c r="N7" s="12">
        <v>64.95</v>
      </c>
      <c r="O7" s="12">
        <v>0</v>
      </c>
      <c r="P7" s="12">
        <v>0</v>
      </c>
      <c r="Q7" s="12">
        <v>2.92</v>
      </c>
      <c r="R7" s="12">
        <v>0</v>
      </c>
      <c r="S7" t="b">
        <v>0</v>
      </c>
      <c r="T7" t="b">
        <v>1</v>
      </c>
      <c r="U7">
        <f t="shared" si="0"/>
        <v>0.14755710662685198</v>
      </c>
      <c r="V7">
        <f t="shared" si="1"/>
        <v>30</v>
      </c>
      <c r="W7" s="24">
        <f t="array" ref="W7">SUMPRODUCT(I7:R7/100,$I$21:$R$21)</f>
        <v>0</v>
      </c>
      <c r="X7" s="24">
        <f t="array" ref="X7">SUMPRODUCT(I7:R7/100,$I$22:$R$22)</f>
        <v>0</v>
      </c>
      <c r="Y7" s="24">
        <f t="array" ref="Y7">SUMPRODUCT(I7:R7/100,$I$24:$R$24)</f>
        <v>0</v>
      </c>
      <c r="Z7" s="24">
        <f t="array" ref="Z7">SUMPRODUCT(I7:R7/100,$I$25:$R$25)</f>
        <v>0</v>
      </c>
      <c r="AA7" s="24">
        <f t="array" ref="AA7">SUMPRODUCT(I7:R7/100,$I$26:$R$26)</f>
        <v>0</v>
      </c>
      <c r="AB7" s="24">
        <f t="array" ref="AB7">SUMPRODUCT(I7:R7/100,$I$27:$R$27)</f>
        <v>0</v>
      </c>
      <c r="AC7" s="24">
        <f t="array" ref="AC7">SUMPRODUCT(I7:R7/100,$I$28:$R$28)</f>
        <v>0</v>
      </c>
      <c r="AD7" s="24">
        <f t="array" ref="AD7">SUMPRODUCT(I7:R7/100,$I$29:$R$29)</f>
        <v>0</v>
      </c>
    </row>
    <row r="8" spans="1:30" x14ac:dyDescent="0.25">
      <c r="A8">
        <v>20</v>
      </c>
      <c r="B8" s="14">
        <v>7.1555559999999998</v>
      </c>
      <c r="C8" s="14">
        <v>5.4003480000000001</v>
      </c>
      <c r="D8" s="14">
        <v>7.7404549999999999</v>
      </c>
      <c r="E8" s="15">
        <v>9440.6598611374902</v>
      </c>
      <c r="F8" s="15">
        <v>5180.6269750621323</v>
      </c>
      <c r="G8" s="15">
        <v>899.0021021203529</v>
      </c>
      <c r="H8" s="24">
        <v>3361.0307839550051</v>
      </c>
      <c r="I8" s="12">
        <v>7.37</v>
      </c>
      <c r="J8" s="12">
        <v>0</v>
      </c>
      <c r="K8" s="12">
        <v>2.11</v>
      </c>
      <c r="L8" s="12">
        <v>3.37</v>
      </c>
      <c r="M8" s="12">
        <v>20</v>
      </c>
      <c r="N8" s="12">
        <v>64.52</v>
      </c>
      <c r="O8" s="12">
        <v>0</v>
      </c>
      <c r="P8" s="12">
        <v>0</v>
      </c>
      <c r="Q8" s="12">
        <v>2.63</v>
      </c>
      <c r="R8" s="12">
        <v>0</v>
      </c>
      <c r="S8" t="b">
        <v>1</v>
      </c>
      <c r="T8" t="b">
        <v>1</v>
      </c>
      <c r="U8">
        <f t="shared" si="0"/>
        <v>0.14787120903385478</v>
      </c>
      <c r="V8">
        <f t="shared" si="1"/>
        <v>30</v>
      </c>
      <c r="W8" s="24">
        <f t="array" ref="W8">SUMPRODUCT(I8:R8/100,$I$21:$R$21)</f>
        <v>0</v>
      </c>
      <c r="X8" s="24">
        <f t="array" ref="X8">SUMPRODUCT(I8:R8/100,$I$22:$R$22)</f>
        <v>0</v>
      </c>
      <c r="Y8" s="24">
        <f t="array" ref="Y8">SUMPRODUCT(I8:R8/100,$I$24:$R$24)</f>
        <v>0</v>
      </c>
      <c r="Z8" s="24">
        <f t="array" ref="Z8">SUMPRODUCT(I8:R8/100,$I$25:$R$25)</f>
        <v>0</v>
      </c>
      <c r="AA8" s="24">
        <f t="array" ref="AA8">SUMPRODUCT(I8:R8/100,$I$26:$R$26)</f>
        <v>0</v>
      </c>
      <c r="AB8" s="24">
        <f t="array" ref="AB8">SUMPRODUCT(I8:R8/100,$I$27:$R$27)</f>
        <v>0</v>
      </c>
      <c r="AC8" s="24">
        <f t="array" ref="AC8">SUMPRODUCT(I8:R8/100,$I$28:$R$28)</f>
        <v>0</v>
      </c>
      <c r="AD8" s="24">
        <f t="array" ref="AD8">SUMPRODUCT(I8:R8/100,$I$29:$R$29)</f>
        <v>0</v>
      </c>
    </row>
    <row r="9" spans="1:30" x14ac:dyDescent="0.25">
      <c r="A9">
        <v>23</v>
      </c>
      <c r="B9" s="14">
        <v>7.1555559999999998</v>
      </c>
      <c r="C9" s="14">
        <v>5.4003480000000001</v>
      </c>
      <c r="D9" s="14">
        <v>7.7404549999999999</v>
      </c>
      <c r="E9" s="15">
        <v>8266.6477171532624</v>
      </c>
      <c r="F9" s="15">
        <v>4434.981064055155</v>
      </c>
      <c r="G9" s="15">
        <v>778.38461869354057</v>
      </c>
      <c r="H9" s="24">
        <v>3053.2820344045672</v>
      </c>
      <c r="I9" s="12">
        <v>7.32</v>
      </c>
      <c r="J9" s="12">
        <v>0</v>
      </c>
      <c r="K9" s="12">
        <v>2.04</v>
      </c>
      <c r="L9" s="12">
        <v>36.01</v>
      </c>
      <c r="M9" s="12">
        <v>20</v>
      </c>
      <c r="N9" s="12">
        <v>34.619999999999997</v>
      </c>
      <c r="O9" s="12">
        <v>0</v>
      </c>
      <c r="P9" s="12">
        <v>0</v>
      </c>
      <c r="Q9" s="12">
        <v>0</v>
      </c>
      <c r="R9" s="12">
        <v>0</v>
      </c>
      <c r="S9" t="b">
        <v>1</v>
      </c>
      <c r="T9" t="b">
        <v>1</v>
      </c>
      <c r="U9">
        <f t="shared" si="0"/>
        <v>0.1493055860764298</v>
      </c>
      <c r="V9">
        <f t="shared" si="1"/>
        <v>27.32</v>
      </c>
      <c r="W9" s="24">
        <f t="array" ref="W9">SUMPRODUCT(I9:R9/100,$I$21:$R$21)</f>
        <v>0</v>
      </c>
      <c r="X9" s="24">
        <f t="array" ref="X9">SUMPRODUCT(I9:R9/100,$I$22:$R$22)</f>
        <v>0</v>
      </c>
      <c r="Y9" s="24">
        <f t="array" ref="Y9">SUMPRODUCT(I9:R9/100,$I$24:$R$24)</f>
        <v>0</v>
      </c>
      <c r="Z9" s="24">
        <f t="array" ref="Z9">SUMPRODUCT(I9:R9/100,$I$25:$R$25)</f>
        <v>0</v>
      </c>
      <c r="AA9" s="24">
        <f t="array" ref="AA9">SUMPRODUCT(I9:R9/100,$I$26:$R$26)</f>
        <v>0</v>
      </c>
      <c r="AB9" s="24">
        <f t="array" ref="AB9">SUMPRODUCT(I9:R9/100,$I$27:$R$27)</f>
        <v>0</v>
      </c>
      <c r="AC9" s="24">
        <f t="array" ref="AC9">SUMPRODUCT(I9:R9/100,$I$28:$R$28)</f>
        <v>0</v>
      </c>
      <c r="AD9" s="24">
        <f t="array" ref="AD9">SUMPRODUCT(I9:R9/100,$I$29:$R$29)</f>
        <v>0</v>
      </c>
    </row>
    <row r="10" spans="1:30" x14ac:dyDescent="0.25">
      <c r="A10">
        <v>25</v>
      </c>
      <c r="B10" s="14">
        <v>7.1555559999999998</v>
      </c>
      <c r="C10" s="14">
        <v>5.4003480000000001</v>
      </c>
      <c r="D10" s="14">
        <v>7.7404549999999999</v>
      </c>
      <c r="E10" s="15">
        <v>7664.0786855825081</v>
      </c>
      <c r="F10" s="15">
        <v>4077.3966426454199</v>
      </c>
      <c r="G10" s="15">
        <v>713.85068947205207</v>
      </c>
      <c r="H10" s="24">
        <v>2872.831353465036</v>
      </c>
      <c r="I10" s="12">
        <v>7.32</v>
      </c>
      <c r="J10" s="12">
        <v>0</v>
      </c>
      <c r="K10" s="12">
        <v>2.2200000000000002</v>
      </c>
      <c r="L10" s="12">
        <v>34.72</v>
      </c>
      <c r="M10" s="12">
        <v>20</v>
      </c>
      <c r="N10" s="12">
        <v>35.74</v>
      </c>
      <c r="O10" s="12">
        <v>0</v>
      </c>
      <c r="P10" s="12">
        <v>0</v>
      </c>
      <c r="Q10" s="12">
        <v>0</v>
      </c>
      <c r="R10" s="12">
        <v>0</v>
      </c>
      <c r="S10" t="b">
        <v>1</v>
      </c>
      <c r="T10" t="b">
        <v>1</v>
      </c>
      <c r="U10">
        <f t="shared" si="0"/>
        <v>0.14899057385054024</v>
      </c>
      <c r="V10">
        <f t="shared" si="1"/>
        <v>27.32</v>
      </c>
      <c r="W10" s="24">
        <f t="array" ref="W10">SUMPRODUCT(I10:R10/100,$I$21:$R$21)</f>
        <v>0</v>
      </c>
      <c r="X10" s="24">
        <f t="array" ref="X10">SUMPRODUCT(I10:R10/100,$I$22:$R$22)</f>
        <v>0</v>
      </c>
      <c r="Y10" s="24">
        <f t="array" ref="Y10">SUMPRODUCT(I10:R10/100,$I$24:$R$24)</f>
        <v>0</v>
      </c>
      <c r="Z10" s="24">
        <f t="array" ref="Z10">SUMPRODUCT(I10:R10/100,$I$25:$R$25)</f>
        <v>0</v>
      </c>
      <c r="AA10" s="24">
        <f t="array" ref="AA10">SUMPRODUCT(I10:R10/100,$I$26:$R$26)</f>
        <v>0</v>
      </c>
      <c r="AB10" s="24">
        <f t="array" ref="AB10">SUMPRODUCT(I10:R10/100,$I$27:$R$27)</f>
        <v>0</v>
      </c>
      <c r="AC10" s="24">
        <f t="array" ref="AC10">SUMPRODUCT(I10:R10/100,$I$28:$R$28)</f>
        <v>0</v>
      </c>
      <c r="AD10" s="24">
        <f t="array" ref="AD10">SUMPRODUCT(I10:R10/100,$I$29:$R$29)</f>
        <v>0</v>
      </c>
    </row>
    <row r="11" spans="1:30" x14ac:dyDescent="0.25">
      <c r="A11">
        <v>28</v>
      </c>
      <c r="B11" s="14">
        <v>7.1555559999999998</v>
      </c>
      <c r="C11" s="14">
        <v>5.4003480000000001</v>
      </c>
      <c r="D11" s="14">
        <v>7.7404549999999999</v>
      </c>
      <c r="E11" s="15">
        <v>6901.8251071448249</v>
      </c>
      <c r="F11" s="15">
        <v>3636.80155197985</v>
      </c>
      <c r="G11" s="15">
        <v>634.57585901180926</v>
      </c>
      <c r="H11" s="24">
        <v>2630.447696153165</v>
      </c>
      <c r="I11" s="12">
        <v>7.31</v>
      </c>
      <c r="J11" s="12">
        <v>0</v>
      </c>
      <c r="K11" s="12">
        <v>2.4900000000000002</v>
      </c>
      <c r="L11" s="12">
        <v>32.770000000000003</v>
      </c>
      <c r="M11" s="12">
        <v>20</v>
      </c>
      <c r="N11" s="12">
        <v>37.43</v>
      </c>
      <c r="O11" s="12">
        <v>0</v>
      </c>
      <c r="P11" s="12">
        <v>0</v>
      </c>
      <c r="Q11" s="12">
        <v>0</v>
      </c>
      <c r="R11" s="12">
        <v>0</v>
      </c>
      <c r="S11" t="b">
        <v>1</v>
      </c>
      <c r="T11" t="b">
        <v>1</v>
      </c>
      <c r="U11">
        <f t="shared" si="0"/>
        <v>0.14856468954928609</v>
      </c>
      <c r="V11">
        <f t="shared" si="1"/>
        <v>27.31</v>
      </c>
      <c r="W11" s="24">
        <f t="array" ref="W11">SUMPRODUCT(I11:R11/100,$I$21:$R$21)</f>
        <v>0</v>
      </c>
      <c r="X11" s="24">
        <f t="array" ref="X11">SUMPRODUCT(I11:R11/100,$I$22:$R$22)</f>
        <v>0</v>
      </c>
      <c r="Y11" s="24">
        <f t="array" ref="Y11">SUMPRODUCT(I11:R11/100,$I$24:$R$24)</f>
        <v>0</v>
      </c>
      <c r="Z11" s="24">
        <f t="array" ref="Z11">SUMPRODUCT(I11:R11/100,$I$25:$R$25)</f>
        <v>0</v>
      </c>
      <c r="AA11" s="24">
        <f t="array" ref="AA11">SUMPRODUCT(I11:R11/100,$I$26:$R$26)</f>
        <v>0</v>
      </c>
      <c r="AB11" s="24">
        <f t="array" ref="AB11">SUMPRODUCT(I11:R11/100,$I$27:$R$27)</f>
        <v>0</v>
      </c>
      <c r="AC11" s="24">
        <f t="array" ref="AC11">SUMPRODUCT(I11:R11/100,$I$28:$R$28)</f>
        <v>0</v>
      </c>
      <c r="AD11" s="24">
        <f t="array" ref="AD11">SUMPRODUCT(I11:R11/100,$I$29:$R$29)</f>
        <v>0</v>
      </c>
    </row>
    <row r="12" spans="1:30" x14ac:dyDescent="0.25">
      <c r="A12">
        <v>30</v>
      </c>
      <c r="B12" s="14">
        <v>7.1555559999999998</v>
      </c>
      <c r="C12" s="14">
        <v>5.4003480000000001</v>
      </c>
      <c r="D12" s="14">
        <v>7.7404549999999999</v>
      </c>
      <c r="E12" s="15">
        <v>6468.9157360571244</v>
      </c>
      <c r="F12" s="15">
        <v>3392.0265016100921</v>
      </c>
      <c r="G12" s="15">
        <v>590.82111847041006</v>
      </c>
      <c r="H12" s="24">
        <v>2486.0681159766232</v>
      </c>
      <c r="I12" s="12">
        <v>7.31</v>
      </c>
      <c r="J12" s="12">
        <v>0</v>
      </c>
      <c r="K12" s="12">
        <v>2.67</v>
      </c>
      <c r="L12" s="12">
        <v>31.48</v>
      </c>
      <c r="M12" s="12">
        <v>20</v>
      </c>
      <c r="N12" s="12">
        <v>38.549999999999997</v>
      </c>
      <c r="O12" s="12">
        <v>0</v>
      </c>
      <c r="P12" s="12">
        <v>0</v>
      </c>
      <c r="Q12" s="12">
        <v>0</v>
      </c>
      <c r="R12" s="12">
        <v>0</v>
      </c>
      <c r="S12" t="b">
        <v>1</v>
      </c>
      <c r="T12" t="b">
        <v>1</v>
      </c>
      <c r="U12">
        <f t="shared" si="0"/>
        <v>0.1483413815511396</v>
      </c>
      <c r="V12">
        <f t="shared" si="1"/>
        <v>27.31</v>
      </c>
      <c r="W12" s="24">
        <f t="array" ref="W12">SUMPRODUCT(I12:R12/100,$I$21:$R$21)</f>
        <v>0</v>
      </c>
      <c r="X12" s="24">
        <f t="array" ref="X12">SUMPRODUCT(I12:R12/100,$I$22:$R$22)</f>
        <v>0</v>
      </c>
      <c r="Y12" s="24">
        <f t="array" ref="Y12">SUMPRODUCT(I12:R12/100,$I$24:$R$24)</f>
        <v>0</v>
      </c>
      <c r="Z12" s="24">
        <f t="array" ref="Z12">SUMPRODUCT(I12:R12/100,$I$25:$R$25)</f>
        <v>0</v>
      </c>
      <c r="AA12" s="24">
        <f t="array" ref="AA12">SUMPRODUCT(I12:R12/100,$I$26:$R$26)</f>
        <v>0</v>
      </c>
      <c r="AB12" s="24">
        <f t="array" ref="AB12">SUMPRODUCT(I12:R12/100,$I$27:$R$27)</f>
        <v>0</v>
      </c>
      <c r="AC12" s="24">
        <f t="array" ref="AC12">SUMPRODUCT(I12:R12/100,$I$28:$R$28)</f>
        <v>0</v>
      </c>
      <c r="AD12" s="24">
        <f t="array" ref="AD12">SUMPRODUCT(I12:R12/100,$I$29:$R$29)</f>
        <v>0</v>
      </c>
    </row>
    <row r="13" spans="1:30" x14ac:dyDescent="0.25">
      <c r="A13">
        <v>33</v>
      </c>
      <c r="B13" s="14">
        <v>7.1555559999999998</v>
      </c>
      <c r="C13" s="14">
        <v>5.4003480000000001</v>
      </c>
      <c r="D13" s="14">
        <v>7.7404549999999999</v>
      </c>
      <c r="E13" s="15">
        <v>5908.3427796194565</v>
      </c>
      <c r="F13" s="15">
        <v>3080.494619321305</v>
      </c>
      <c r="G13" s="15">
        <v>535.81052337005906</v>
      </c>
      <c r="H13" s="24">
        <v>2292.0376369280912</v>
      </c>
      <c r="I13" s="12">
        <v>7.3</v>
      </c>
      <c r="J13" s="12">
        <v>0</v>
      </c>
      <c r="K13" s="12">
        <v>2.93</v>
      </c>
      <c r="L13" s="12">
        <v>29.53</v>
      </c>
      <c r="M13" s="12">
        <v>20</v>
      </c>
      <c r="N13" s="12">
        <v>40.229999999999997</v>
      </c>
      <c r="O13" s="12">
        <v>0</v>
      </c>
      <c r="P13" s="12">
        <v>0</v>
      </c>
      <c r="Q13" s="12">
        <v>0</v>
      </c>
      <c r="R13" s="12">
        <v>0</v>
      </c>
      <c r="S13" t="b">
        <v>1</v>
      </c>
      <c r="T13" t="b">
        <v>1</v>
      </c>
      <c r="U13">
        <f t="shared" si="0"/>
        <v>0.14816518579825724</v>
      </c>
      <c r="V13">
        <f t="shared" si="1"/>
        <v>27.3</v>
      </c>
      <c r="W13" s="24">
        <f t="array" ref="W13">SUMPRODUCT(I13:R13/100,$I$21:$R$21)</f>
        <v>0</v>
      </c>
      <c r="X13" s="24">
        <f t="array" ref="X13">SUMPRODUCT(I13:R13/100,$I$22:$R$22)</f>
        <v>0</v>
      </c>
      <c r="Y13" s="24">
        <f t="array" ref="Y13">SUMPRODUCT(I13:R13/100,$I$24:$R$24)</f>
        <v>0</v>
      </c>
      <c r="Z13" s="24">
        <f t="array" ref="Z13">SUMPRODUCT(I13:R13/100,$I$25:$R$25)</f>
        <v>0</v>
      </c>
      <c r="AA13" s="24">
        <f t="array" ref="AA13">SUMPRODUCT(I13:R13/100,$I$26:$R$26)</f>
        <v>0</v>
      </c>
      <c r="AB13" s="24">
        <f t="array" ref="AB13">SUMPRODUCT(I13:R13/100,$I$27:$R$27)</f>
        <v>0</v>
      </c>
      <c r="AC13" s="24">
        <f t="array" ref="AC13">SUMPRODUCT(I13:R13/100,$I$28:$R$28)</f>
        <v>0</v>
      </c>
      <c r="AD13" s="24">
        <f t="array" ref="AD13">SUMPRODUCT(I13:R13/100,$I$29:$R$29)</f>
        <v>0</v>
      </c>
    </row>
    <row r="14" spans="1:30" x14ac:dyDescent="0.25">
      <c r="A14">
        <v>35.000000000000007</v>
      </c>
      <c r="B14" s="14">
        <v>7.1555559999999998</v>
      </c>
      <c r="C14" s="14">
        <v>5.4003480000000001</v>
      </c>
      <c r="D14" s="14">
        <v>7.7404549999999999</v>
      </c>
      <c r="E14" s="15">
        <v>5476.7710572008482</v>
      </c>
      <c r="F14" s="15">
        <v>2790.649919134928</v>
      </c>
      <c r="G14" s="15">
        <v>504.9406488028161</v>
      </c>
      <c r="H14" s="24">
        <v>2181.1804892631039</v>
      </c>
      <c r="I14" s="12">
        <v>7.09</v>
      </c>
      <c r="J14" s="12">
        <v>0</v>
      </c>
      <c r="K14" s="12">
        <v>3.11</v>
      </c>
      <c r="L14" s="12">
        <v>73.010000000000005</v>
      </c>
      <c r="M14" s="12">
        <v>16.79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t="b">
        <v>1</v>
      </c>
      <c r="T14" t="b">
        <v>1</v>
      </c>
      <c r="U14">
        <f t="shared" si="0"/>
        <v>0.15321704513761514</v>
      </c>
      <c r="V14">
        <f t="shared" si="1"/>
        <v>23.88</v>
      </c>
      <c r="W14" s="24">
        <f t="array" ref="W14">SUMPRODUCT(I14:R14/100,$I$21:$R$21)</f>
        <v>0</v>
      </c>
      <c r="X14" s="24">
        <f t="array" ref="X14">SUMPRODUCT(I14:R14/100,$I$22:$R$22)</f>
        <v>0</v>
      </c>
      <c r="Y14" s="24">
        <f t="array" ref="Y14">SUMPRODUCT(I14:R14/100,$I$24:$R$24)</f>
        <v>0</v>
      </c>
      <c r="Z14" s="24">
        <f t="array" ref="Z14">SUMPRODUCT(I14:R14/100,$I$25:$R$25)</f>
        <v>0</v>
      </c>
      <c r="AA14" s="24">
        <f t="array" ref="AA14">SUMPRODUCT(I14:R14/100,$I$26:$R$26)</f>
        <v>0</v>
      </c>
      <c r="AB14" s="24">
        <f t="array" ref="AB14">SUMPRODUCT(I14:R14/100,$I$27:$R$27)</f>
        <v>0</v>
      </c>
      <c r="AC14" s="24">
        <f t="array" ref="AC14">SUMPRODUCT(I14:R14/100,$I$28:$R$28)</f>
        <v>0</v>
      </c>
      <c r="AD14" s="24">
        <f t="array" ref="AD14">SUMPRODUCT(I14:R14/100,$I$29:$R$29)</f>
        <v>0</v>
      </c>
    </row>
    <row r="15" spans="1:30" x14ac:dyDescent="0.25">
      <c r="A15">
        <v>40</v>
      </c>
      <c r="B15" s="14">
        <v>7.1555559999999998</v>
      </c>
      <c r="C15" s="14">
        <v>5.4003480000000001</v>
      </c>
      <c r="D15" s="14">
        <v>7.7404549999999999</v>
      </c>
      <c r="E15" s="15">
        <v>4816.8029442358657</v>
      </c>
      <c r="F15" s="15">
        <v>2430.8269943222931</v>
      </c>
      <c r="G15" s="15">
        <v>440.31779172965531</v>
      </c>
      <c r="H15" s="24">
        <v>1945.6581581839171</v>
      </c>
      <c r="I15" s="12">
        <v>7.07</v>
      </c>
      <c r="J15" s="12">
        <v>0</v>
      </c>
      <c r="K15" s="12">
        <v>3.55</v>
      </c>
      <c r="L15" s="12">
        <v>72.81</v>
      </c>
      <c r="M15" s="12">
        <v>16.57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t="b">
        <v>1</v>
      </c>
      <c r="T15" t="b">
        <v>1</v>
      </c>
      <c r="U15">
        <f t="shared" si="0"/>
        <v>0.15335966122945935</v>
      </c>
      <c r="V15">
        <f t="shared" si="1"/>
        <v>23.64</v>
      </c>
      <c r="W15" s="24">
        <f t="array" ref="W15">SUMPRODUCT(I15:R15/100,$I$21:$R$21)</f>
        <v>0</v>
      </c>
      <c r="X15" s="24">
        <f t="array" ref="X15">SUMPRODUCT(I15:R15/100,$I$22:$R$22)</f>
        <v>0</v>
      </c>
      <c r="Y15" s="24">
        <f t="array" ref="Y15">SUMPRODUCT(I15:R15/100,$I$24:$R$24)</f>
        <v>0</v>
      </c>
      <c r="Z15" s="24">
        <f t="array" ref="Z15">SUMPRODUCT(I15:R15/100,$I$25:$R$25)</f>
        <v>0</v>
      </c>
      <c r="AA15" s="24">
        <f t="array" ref="AA15">SUMPRODUCT(I15:R15/100,$I$26:$R$26)</f>
        <v>0</v>
      </c>
      <c r="AB15" s="24">
        <f t="array" ref="AB15">SUMPRODUCT(I15:R15/100,$I$27:$R$27)</f>
        <v>0</v>
      </c>
      <c r="AC15" s="24">
        <f t="array" ref="AC15">SUMPRODUCT(I15:R15/100,$I$28:$R$28)</f>
        <v>0</v>
      </c>
      <c r="AD15" s="24">
        <f t="array" ref="AD15">SUMPRODUCT(I15:R15/100,$I$29:$R$29)</f>
        <v>0</v>
      </c>
    </row>
    <row r="16" spans="1:30" x14ac:dyDescent="0.25">
      <c r="A16">
        <v>45</v>
      </c>
      <c r="B16" s="14">
        <v>7.1555559999999998</v>
      </c>
      <c r="C16" s="14">
        <v>5.4003480000000001</v>
      </c>
      <c r="D16" s="14">
        <v>7.7404549999999999</v>
      </c>
      <c r="E16" s="15">
        <v>4292.6548064558956</v>
      </c>
      <c r="F16" s="15">
        <v>2150.9647194680201</v>
      </c>
      <c r="G16" s="15">
        <v>390.34808988658608</v>
      </c>
      <c r="H16" s="24">
        <v>1751.34199710129</v>
      </c>
      <c r="I16" s="12">
        <v>7.04</v>
      </c>
      <c r="J16" s="12">
        <v>0</v>
      </c>
      <c r="K16" s="12">
        <v>4</v>
      </c>
      <c r="L16" s="12">
        <v>72.61</v>
      </c>
      <c r="M16" s="12">
        <v>16.350000000000001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t="b">
        <v>1</v>
      </c>
      <c r="T16" t="b">
        <v>1</v>
      </c>
      <c r="U16">
        <f t="shared" si="0"/>
        <v>0.15360096106615037</v>
      </c>
      <c r="V16">
        <f t="shared" si="1"/>
        <v>23.39</v>
      </c>
      <c r="W16" s="24">
        <f t="array" ref="W16">SUMPRODUCT(I16:R16/100,$I$21:$R$21)</f>
        <v>0</v>
      </c>
      <c r="X16" s="24">
        <f t="array" ref="X16">SUMPRODUCT(I16:R16/100,$I$22:$R$22)</f>
        <v>0</v>
      </c>
      <c r="Y16" s="24">
        <f t="array" ref="Y16">SUMPRODUCT(I16:R16/100,$I$24:$R$24)</f>
        <v>0</v>
      </c>
      <c r="Z16" s="24">
        <f t="array" ref="Z16">SUMPRODUCT(I16:R16/100,$I$25:$R$25)</f>
        <v>0</v>
      </c>
      <c r="AA16" s="24">
        <f t="array" ref="AA16">SUMPRODUCT(I16:R16/100,$I$26:$R$26)</f>
        <v>0</v>
      </c>
      <c r="AB16" s="24">
        <f t="array" ref="AB16">SUMPRODUCT(I16:R16/100,$I$27:$R$27)</f>
        <v>0</v>
      </c>
      <c r="AC16" s="24">
        <f t="array" ref="AC16">SUMPRODUCT(I16:R16/100,$I$28:$R$28)</f>
        <v>0</v>
      </c>
      <c r="AD16" s="24">
        <f t="array" ref="AD16">SUMPRODUCT(I16:R16/100,$I$29:$R$29)</f>
        <v>0</v>
      </c>
    </row>
    <row r="17" spans="1:30" x14ac:dyDescent="0.25">
      <c r="A17">
        <v>50</v>
      </c>
      <c r="B17" s="14">
        <v>7.1555559999999998</v>
      </c>
      <c r="C17" s="14">
        <v>5.4003480000000001</v>
      </c>
      <c r="D17" s="14">
        <v>7.7404549999999999</v>
      </c>
      <c r="E17" s="15">
        <v>3866.7346512292302</v>
      </c>
      <c r="F17" s="15">
        <v>1927.0748995846029</v>
      </c>
      <c r="G17" s="15">
        <v>350.3723284121308</v>
      </c>
      <c r="H17" s="24">
        <v>1589.2874232324959</v>
      </c>
      <c r="I17" s="12">
        <v>7.02</v>
      </c>
      <c r="J17" s="12">
        <v>0</v>
      </c>
      <c r="K17" s="12">
        <v>4.4400000000000004</v>
      </c>
      <c r="L17" s="12">
        <v>72.41</v>
      </c>
      <c r="M17" s="12">
        <v>16.13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t="b">
        <v>1</v>
      </c>
      <c r="T17" t="b">
        <v>1</v>
      </c>
      <c r="U17">
        <f t="shared" si="0"/>
        <v>0.15384432363788381</v>
      </c>
      <c r="V17">
        <f t="shared" si="1"/>
        <v>23.15</v>
      </c>
      <c r="W17" s="24">
        <f t="array" ref="W17">SUMPRODUCT(I17:R17/100,$I$21:$R$21)</f>
        <v>0</v>
      </c>
      <c r="X17" s="24">
        <f t="array" ref="X17">SUMPRODUCT(I17:R17/100,$I$22:$R$22)</f>
        <v>0</v>
      </c>
      <c r="Y17" s="24">
        <f t="array" ref="Y17">SUMPRODUCT(I17:R17/100,$I$24:$R$24)</f>
        <v>0</v>
      </c>
      <c r="Z17" s="24">
        <f t="array" ref="Z17">SUMPRODUCT(I17:R17/100,$I$25:$R$25)</f>
        <v>0</v>
      </c>
      <c r="AA17" s="24">
        <f t="array" ref="AA17">SUMPRODUCT(I17:R17/100,$I$26:$R$26)</f>
        <v>0</v>
      </c>
      <c r="AB17" s="24">
        <f t="array" ref="AB17">SUMPRODUCT(I17:R17/100,$I$27:$R$27)</f>
        <v>0</v>
      </c>
      <c r="AC17" s="24">
        <f t="array" ref="AC17">SUMPRODUCT(I17:R17/100,$I$28:$R$28)</f>
        <v>0</v>
      </c>
      <c r="AD17" s="24">
        <f t="array" ref="AD17">SUMPRODUCT(I17:R17/100,$I$29:$R$29)</f>
        <v>0</v>
      </c>
    </row>
    <row r="18" spans="1:30" x14ac:dyDescent="0.25">
      <c r="A18" s="5"/>
      <c r="E18" s="16"/>
      <c r="I18" s="17"/>
      <c r="J18" s="17"/>
      <c r="K18" s="17"/>
      <c r="L18" s="17"/>
      <c r="M18" s="17"/>
      <c r="N18" s="17"/>
      <c r="O18" s="17"/>
      <c r="P18" s="17"/>
      <c r="Q18" s="17"/>
      <c r="R18" s="17"/>
      <c r="U18" s="16"/>
    </row>
    <row r="19" spans="1:30" x14ac:dyDescent="0.25">
      <c r="A19" s="5"/>
      <c r="I19" s="18"/>
      <c r="K19" s="18"/>
      <c r="L19" s="21"/>
      <c r="M19" s="20"/>
      <c r="O19" s="18"/>
      <c r="P19" s="18"/>
      <c r="Q19" s="18"/>
      <c r="R19" s="18"/>
    </row>
    <row r="20" spans="1:30" x14ac:dyDescent="0.25">
      <c r="C20" s="23"/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30" x14ac:dyDescent="0.25">
      <c r="C21" s="23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30" x14ac:dyDescent="0.25"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30" x14ac:dyDescent="0.25">
      <c r="L23" s="16"/>
      <c r="M23" s="16"/>
    </row>
    <row r="24" spans="1:30" x14ac:dyDescent="0.25">
      <c r="L24" s="21"/>
      <c r="M24" s="21"/>
    </row>
    <row r="25" spans="1:30" x14ac:dyDescent="0.25">
      <c r="I25" s="19"/>
      <c r="J25" s="19"/>
      <c r="K25" s="19"/>
      <c r="L25" s="22"/>
      <c r="M25" s="22"/>
      <c r="N25" s="19"/>
      <c r="O25" s="19"/>
      <c r="P25" s="19"/>
      <c r="Q25" s="19"/>
      <c r="R25" s="19"/>
      <c r="S25" s="14"/>
      <c r="T25" s="14"/>
      <c r="U25" s="14"/>
      <c r="V25" s="14"/>
      <c r="W25" s="14"/>
      <c r="X25" s="14"/>
    </row>
    <row r="26" spans="1:30" x14ac:dyDescent="0.25">
      <c r="I26" s="20"/>
      <c r="J26" s="18"/>
      <c r="K26" s="18"/>
      <c r="L26" s="21"/>
      <c r="M26" s="21"/>
      <c r="N26" s="18"/>
      <c r="O26" s="18"/>
      <c r="P26" s="18"/>
      <c r="Q26" s="18"/>
      <c r="R26" s="18"/>
      <c r="S26" s="14"/>
      <c r="T26" s="14"/>
      <c r="U26" s="14"/>
      <c r="V26" s="14"/>
      <c r="W26" s="14"/>
      <c r="X26" s="14"/>
    </row>
    <row r="27" spans="1:30" x14ac:dyDescent="0.25">
      <c r="I27" s="18"/>
      <c r="J27" s="18"/>
      <c r="K27" s="18"/>
      <c r="L27" s="21"/>
      <c r="M27" s="21"/>
      <c r="N27" s="18"/>
      <c r="O27" s="18"/>
      <c r="P27" s="18"/>
      <c r="Q27" s="18"/>
      <c r="R27" s="18"/>
      <c r="S27" s="14"/>
      <c r="T27" s="14"/>
      <c r="U27" s="14"/>
      <c r="V27" s="14"/>
      <c r="W27" s="14"/>
      <c r="X27" s="14"/>
    </row>
    <row r="28" spans="1:30" x14ac:dyDescent="0.25">
      <c r="I28" s="18"/>
      <c r="J28" s="20"/>
      <c r="K28" s="18"/>
      <c r="L28" s="21"/>
      <c r="M28" s="21"/>
      <c r="N28" s="18"/>
      <c r="O28" s="18"/>
      <c r="P28" s="18"/>
      <c r="Q28" s="18"/>
      <c r="R28" s="18"/>
      <c r="S28" s="15"/>
      <c r="T28" s="15"/>
      <c r="U28" s="15"/>
      <c r="V28" s="15"/>
      <c r="W28" s="15"/>
      <c r="X28" s="15"/>
    </row>
    <row r="29" spans="1:30" x14ac:dyDescent="0.25">
      <c r="I29" s="18"/>
      <c r="J29" s="18"/>
      <c r="K29" s="18"/>
      <c r="L29" s="21"/>
      <c r="M29" s="21"/>
      <c r="N29" s="18"/>
      <c r="O29" s="18"/>
      <c r="P29" s="18"/>
      <c r="Q29" s="18"/>
      <c r="R29" s="18"/>
      <c r="S29" s="15"/>
      <c r="T29" s="15"/>
      <c r="U29" s="15"/>
      <c r="V29" s="15"/>
      <c r="W29" s="15"/>
      <c r="X29" s="15"/>
    </row>
    <row r="30" spans="1:30" x14ac:dyDescent="0.25">
      <c r="I30" s="20"/>
      <c r="J30" s="18"/>
      <c r="K30" s="18"/>
      <c r="L30" s="21"/>
      <c r="M30" s="21"/>
      <c r="N30" s="20"/>
      <c r="O30" s="20"/>
      <c r="P30" s="20"/>
      <c r="Q30" s="20"/>
      <c r="R30" s="20"/>
      <c r="S30" s="15"/>
      <c r="T30" s="15"/>
      <c r="U30" s="15"/>
      <c r="V30" s="15"/>
      <c r="W30" s="15"/>
      <c r="X30" s="15"/>
    </row>
    <row r="31" spans="1:30" x14ac:dyDescent="0.25">
      <c r="S31" s="15"/>
      <c r="T31" s="15"/>
      <c r="U31" s="15"/>
      <c r="V31" s="15"/>
      <c r="W31" s="15"/>
      <c r="X31" s="15"/>
    </row>
    <row r="32" spans="1:30" x14ac:dyDescent="0.25"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  <row r="33" spans="10:24" x14ac:dyDescent="0.25"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  <row r="34" spans="10:24" x14ac:dyDescent="0.25"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  <row r="35" spans="10:24" x14ac:dyDescent="0.25"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</row>
    <row r="36" spans="10:24" x14ac:dyDescent="0.25"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  <row r="37" spans="10:24" x14ac:dyDescent="0.25"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</row>
    <row r="38" spans="10:24" x14ac:dyDescent="0.25"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  <row r="39" spans="10:24" x14ac:dyDescent="0.25"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  <row r="40" spans="10:24" x14ac:dyDescent="0.25"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</row>
    <row r="41" spans="10:24" x14ac:dyDescent="0.25"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D33"/>
  <sheetViews>
    <sheetView zoomScale="70" zoomScaleNormal="70" workbookViewId="0">
      <selection activeCell="W32" sqref="W32"/>
    </sheetView>
  </sheetViews>
  <sheetFormatPr defaultRowHeight="15" x14ac:dyDescent="0.25"/>
  <cols>
    <col min="5" max="6" width="11" bestFit="1" customWidth="1"/>
    <col min="22" max="22" width="10.7109375" bestFit="1" customWidth="1"/>
    <col min="23" max="23" width="12" bestFit="1" customWidth="1"/>
    <col min="24" max="24" width="10" bestFit="1" customWidth="1"/>
    <col min="28" max="28" width="12" bestFit="1" customWidth="1"/>
  </cols>
  <sheetData>
    <row r="1" spans="1:30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W1" s="5" t="s">
        <v>30</v>
      </c>
      <c r="X1" s="5" t="s">
        <v>31</v>
      </c>
      <c r="Y1" s="5" t="s">
        <v>32</v>
      </c>
      <c r="Z1" s="5" t="s">
        <v>33</v>
      </c>
      <c r="AA1" s="5" t="s">
        <v>34</v>
      </c>
      <c r="AB1" s="5" t="s">
        <v>35</v>
      </c>
      <c r="AC1" s="5" t="s">
        <v>36</v>
      </c>
      <c r="AD1" s="5" t="s">
        <v>37</v>
      </c>
    </row>
    <row r="2" spans="1:30" x14ac:dyDescent="0.25">
      <c r="A2">
        <v>40</v>
      </c>
      <c r="E2">
        <v>5713.5511310970178</v>
      </c>
      <c r="F2">
        <v>1975.163920540127</v>
      </c>
      <c r="G2">
        <v>442.06162506962272</v>
      </c>
      <c r="H2">
        <v>3296.3255854872682</v>
      </c>
      <c r="I2">
        <v>2.86</v>
      </c>
      <c r="J2">
        <v>0</v>
      </c>
      <c r="K2">
        <v>3.55</v>
      </c>
      <c r="L2">
        <v>73.58</v>
      </c>
      <c r="M2">
        <v>20</v>
      </c>
      <c r="N2">
        <v>0</v>
      </c>
      <c r="O2">
        <v>0</v>
      </c>
      <c r="P2">
        <v>0</v>
      </c>
      <c r="Q2">
        <v>0</v>
      </c>
      <c r="R2">
        <v>0</v>
      </c>
      <c r="U2">
        <f t="shared" ref="U2:U16" si="0">G2/(G2+F2)</f>
        <v>0.18287975893375388</v>
      </c>
      <c r="V2">
        <f t="shared" ref="V2:V16" si="1">M2+Q2+O2+P2+I2+R2</f>
        <v>22.86</v>
      </c>
      <c r="W2" s="24">
        <f t="array" ref="W2">SUMPRODUCT(I2:R2/100,$I$21:$R$21)</f>
        <v>0</v>
      </c>
      <c r="X2" s="24">
        <f t="array" ref="X2">SUMPRODUCT(I2:R2/100,$I$22:$R$22)</f>
        <v>0</v>
      </c>
      <c r="Y2" s="24">
        <f t="array" ref="Y2">SUMPRODUCT(I2:R2/100,$I$24:$R$24)</f>
        <v>0</v>
      </c>
      <c r="Z2" s="24">
        <f t="array" ref="Z2">SUMPRODUCT(I2:R2/100,$I$25:$R$25)</f>
        <v>0</v>
      </c>
      <c r="AA2" s="24">
        <f t="array" ref="AA2">SUMPRODUCT(I2:R2/100,$I$26:$R$26)</f>
        <v>0</v>
      </c>
      <c r="AB2" s="24">
        <f t="array" ref="AB2">SUMPRODUCT(I2:R2/100,$I$27:$R$27)</f>
        <v>0</v>
      </c>
      <c r="AC2" s="24">
        <f t="array" ref="AC2">SUMPRODUCT(I2:R2/100,$I$28:$R$28)</f>
        <v>0</v>
      </c>
      <c r="AD2" s="24">
        <f t="array" ref="AD2">SUMPRODUCT(I2:R2/100,$I$29:$R$29)</f>
        <v>0</v>
      </c>
    </row>
    <row r="3" spans="1:30" x14ac:dyDescent="0.25">
      <c r="A3">
        <v>30</v>
      </c>
      <c r="E3">
        <v>7741.6914497967364</v>
      </c>
      <c r="F3">
        <v>2854.135444544951</v>
      </c>
      <c r="G3">
        <v>588.88698308575681</v>
      </c>
      <c r="H3">
        <v>4298.6690221660283</v>
      </c>
      <c r="I3">
        <v>7.35</v>
      </c>
      <c r="J3">
        <v>0</v>
      </c>
      <c r="K3">
        <v>2.67</v>
      </c>
      <c r="L3">
        <v>4.6100000000000003</v>
      </c>
      <c r="M3">
        <v>20</v>
      </c>
      <c r="N3">
        <v>63.17</v>
      </c>
      <c r="O3">
        <v>0</v>
      </c>
      <c r="P3">
        <v>0</v>
      </c>
      <c r="Q3">
        <v>2.19</v>
      </c>
      <c r="R3">
        <v>0</v>
      </c>
      <c r="U3">
        <f t="shared" si="0"/>
        <v>0.17103780049756903</v>
      </c>
      <c r="V3">
        <f t="shared" si="1"/>
        <v>29.54</v>
      </c>
      <c r="W3" s="24">
        <f t="array" ref="W3">SUMPRODUCT(I3:R3/100,$I$21:$R$21)</f>
        <v>0</v>
      </c>
      <c r="X3" s="24">
        <f t="array" ref="X3">SUMPRODUCT(I3:R3/100,$I$22:$R$22)</f>
        <v>0</v>
      </c>
      <c r="Y3" s="24">
        <f t="array" ref="Y3">SUMPRODUCT(I3:R3/100,$I$24:$R$24)</f>
        <v>0</v>
      </c>
      <c r="Z3" s="24">
        <f t="array" ref="Z3">SUMPRODUCT(I3:R3/100,$I$25:$R$25)</f>
        <v>0</v>
      </c>
      <c r="AA3" s="24">
        <f t="array" ref="AA3">SUMPRODUCT(I3:R3/100,$I$26:$R$26)</f>
        <v>0</v>
      </c>
      <c r="AB3" s="24">
        <f t="array" ref="AB3">SUMPRODUCT(I3:R3/100,$I$27:$R$27)</f>
        <v>0</v>
      </c>
      <c r="AC3" s="24">
        <f t="array" ref="AC3">SUMPRODUCT(I3:R3/100,$I$28:$R$28)</f>
        <v>0</v>
      </c>
      <c r="AD3" s="24">
        <f t="array" ref="AD3">SUMPRODUCT(I3:R3/100,$I$29:$R$29)</f>
        <v>0</v>
      </c>
    </row>
    <row r="4" spans="1:30" x14ac:dyDescent="0.25">
      <c r="A4">
        <v>24.999999999999989</v>
      </c>
      <c r="E4">
        <v>9198.4681279462384</v>
      </c>
      <c r="F4">
        <v>3439.5864755445409</v>
      </c>
      <c r="G4">
        <v>711.51779692005027</v>
      </c>
      <c r="H4">
        <v>5047.3638554816471</v>
      </c>
      <c r="I4">
        <v>7.37</v>
      </c>
      <c r="J4">
        <v>0</v>
      </c>
      <c r="K4">
        <v>2.2200000000000002</v>
      </c>
      <c r="L4">
        <v>3.84</v>
      </c>
      <c r="M4">
        <v>20</v>
      </c>
      <c r="N4">
        <v>64.040000000000006</v>
      </c>
      <c r="O4">
        <v>0</v>
      </c>
      <c r="P4">
        <v>0</v>
      </c>
      <c r="Q4">
        <v>2.52</v>
      </c>
      <c r="R4">
        <v>0</v>
      </c>
      <c r="U4">
        <f t="shared" si="0"/>
        <v>0.17140446257631786</v>
      </c>
      <c r="V4">
        <f t="shared" si="1"/>
        <v>29.89</v>
      </c>
      <c r="W4" s="24">
        <f t="array" ref="W4">SUMPRODUCT(I4:R4/100,$I$21:$R$21)</f>
        <v>0</v>
      </c>
      <c r="X4" s="24">
        <f t="array" ref="X4">SUMPRODUCT(I4:R4/100,$I$22:$R$22)</f>
        <v>0</v>
      </c>
      <c r="Y4" s="24">
        <f t="array" ref="Y4">SUMPRODUCT(I4:R4/100,$I$24:$R$24)</f>
        <v>0</v>
      </c>
      <c r="Z4" s="24">
        <f t="array" ref="Z4">SUMPRODUCT(I4:R4/100,$I$25:$R$25)</f>
        <v>0</v>
      </c>
      <c r="AA4" s="24">
        <f t="array" ref="AA4">SUMPRODUCT(I4:R4/100,$I$26:$R$26)</f>
        <v>0</v>
      </c>
      <c r="AB4" s="24">
        <f t="array" ref="AB4">SUMPRODUCT(I4:R4/100,$I$27:$R$27)</f>
        <v>0</v>
      </c>
      <c r="AC4" s="24">
        <f t="array" ref="AC4">SUMPRODUCT(I4:R4/100,$I$28:$R$28)</f>
        <v>0</v>
      </c>
      <c r="AD4" s="24">
        <f t="array" ref="AD4">SUMPRODUCT(I4:R4/100,$I$29:$R$29)</f>
        <v>0</v>
      </c>
    </row>
    <row r="5" spans="1:30" x14ac:dyDescent="0.25">
      <c r="A5">
        <v>20</v>
      </c>
      <c r="E5">
        <v>11243.396163200159</v>
      </c>
      <c r="F5">
        <v>4290.2949753513976</v>
      </c>
      <c r="G5">
        <v>892.14500299256133</v>
      </c>
      <c r="H5">
        <v>6060.9561848562043</v>
      </c>
      <c r="I5">
        <v>5.24</v>
      </c>
      <c r="J5">
        <v>0.04</v>
      </c>
      <c r="K5">
        <v>1.78</v>
      </c>
      <c r="L5">
        <v>3.08</v>
      </c>
      <c r="M5">
        <v>20</v>
      </c>
      <c r="N5">
        <v>65.11</v>
      </c>
      <c r="O5">
        <v>0</v>
      </c>
      <c r="P5">
        <v>0</v>
      </c>
      <c r="Q5">
        <v>4.76</v>
      </c>
      <c r="R5">
        <v>0</v>
      </c>
      <c r="U5">
        <f t="shared" si="0"/>
        <v>0.17214767690906185</v>
      </c>
      <c r="V5">
        <f t="shared" si="1"/>
        <v>30</v>
      </c>
      <c r="W5" s="24">
        <f t="array" ref="W5">SUMPRODUCT(I5:R5/100,$I$21:$R$21)</f>
        <v>0</v>
      </c>
      <c r="X5" s="24">
        <f t="array" ref="X5">SUMPRODUCT(I5:R5/100,$I$22:$R$22)</f>
        <v>0</v>
      </c>
      <c r="Y5" s="24">
        <f t="array" ref="Y5">SUMPRODUCT(I5:R5/100,$I$24:$R$24)</f>
        <v>0</v>
      </c>
      <c r="Z5" s="24">
        <f t="array" ref="Z5">SUMPRODUCT(I5:R5/100,$I$25:$R$25)</f>
        <v>0</v>
      </c>
      <c r="AA5" s="24">
        <f t="array" ref="AA5">SUMPRODUCT(I5:R5/100,$I$26:$R$26)</f>
        <v>0</v>
      </c>
      <c r="AB5" s="24">
        <f t="array" ref="AB5">SUMPRODUCT(I5:R5/100,$I$27:$R$27)</f>
        <v>0</v>
      </c>
      <c r="AC5" s="24">
        <f t="array" ref="AC5">SUMPRODUCT(I5:R5/100,$I$28:$R$28)</f>
        <v>0</v>
      </c>
      <c r="AD5" s="24">
        <f t="array" ref="AD5">SUMPRODUCT(I5:R5/100,$I$29:$R$29)</f>
        <v>0</v>
      </c>
    </row>
    <row r="6" spans="1:30" x14ac:dyDescent="0.25">
      <c r="A6">
        <v>19</v>
      </c>
      <c r="E6">
        <v>11771.822509349329</v>
      </c>
      <c r="F6">
        <v>4523.6131249373229</v>
      </c>
      <c r="G6">
        <v>943.59947445653415</v>
      </c>
      <c r="H6">
        <v>6304.6099099554731</v>
      </c>
      <c r="I6">
        <v>5.48</v>
      </c>
      <c r="J6">
        <v>0.11</v>
      </c>
      <c r="K6">
        <v>1.69</v>
      </c>
      <c r="L6">
        <v>2.92</v>
      </c>
      <c r="M6">
        <v>20</v>
      </c>
      <c r="N6">
        <v>65.27</v>
      </c>
      <c r="O6">
        <v>0</v>
      </c>
      <c r="P6">
        <v>0</v>
      </c>
      <c r="Q6">
        <v>4.5199999999999996</v>
      </c>
      <c r="R6">
        <v>0</v>
      </c>
      <c r="U6">
        <f t="shared" si="0"/>
        <v>0.17259242389095128</v>
      </c>
      <c r="V6">
        <f t="shared" si="1"/>
        <v>30</v>
      </c>
      <c r="W6" s="24">
        <f t="array" ref="W6">SUMPRODUCT(I6:R6/100,$I$21:$R$21)</f>
        <v>0</v>
      </c>
      <c r="X6" s="24">
        <f t="array" ref="X6">SUMPRODUCT(I6:R6/100,$I$22:$R$22)</f>
        <v>0</v>
      </c>
      <c r="Y6" s="24">
        <f t="array" ref="Y6">SUMPRODUCT(I6:R6/100,$I$24:$R$24)</f>
        <v>0</v>
      </c>
      <c r="Z6" s="24">
        <f t="array" ref="Z6">SUMPRODUCT(I6:R6/100,$I$25:$R$25)</f>
        <v>0</v>
      </c>
      <c r="AA6" s="24">
        <f t="array" ref="AA6">SUMPRODUCT(I6:R6/100,$I$26:$R$26)</f>
        <v>0</v>
      </c>
      <c r="AB6" s="24">
        <f t="array" ref="AB6">SUMPRODUCT(I6:R6/100,$I$27:$R$27)</f>
        <v>0</v>
      </c>
      <c r="AC6" s="24">
        <f t="array" ref="AC6">SUMPRODUCT(I6:R6/100,$I$28:$R$28)</f>
        <v>0</v>
      </c>
      <c r="AD6" s="24">
        <f t="array" ref="AD6">SUMPRODUCT(I6:R6/100,$I$29:$R$29)</f>
        <v>0</v>
      </c>
    </row>
    <row r="7" spans="1:30" x14ac:dyDescent="0.25">
      <c r="A7">
        <v>49.999999999999993</v>
      </c>
      <c r="E7">
        <v>4593.3586473149926</v>
      </c>
      <c r="F7">
        <v>1565.2685372453591</v>
      </c>
      <c r="G7">
        <v>352.267289016456</v>
      </c>
      <c r="H7">
        <v>2675.8228210531779</v>
      </c>
      <c r="I7">
        <v>2.2799999999999998</v>
      </c>
      <c r="J7">
        <v>0</v>
      </c>
      <c r="K7">
        <v>4.4400000000000004</v>
      </c>
      <c r="L7">
        <v>73.28</v>
      </c>
      <c r="M7">
        <v>20</v>
      </c>
      <c r="N7">
        <v>0</v>
      </c>
      <c r="O7">
        <v>0</v>
      </c>
      <c r="P7">
        <v>0</v>
      </c>
      <c r="Q7">
        <v>0</v>
      </c>
      <c r="R7">
        <v>0</v>
      </c>
      <c r="U7">
        <f t="shared" si="0"/>
        <v>0.183708321999486</v>
      </c>
      <c r="V7">
        <f t="shared" si="1"/>
        <v>22.28</v>
      </c>
      <c r="W7" s="24">
        <f t="array" ref="W7">SUMPRODUCT(I7:R7/100,$I$21:$R$21)</f>
        <v>0</v>
      </c>
      <c r="X7" s="24">
        <f t="array" ref="X7">SUMPRODUCT(I7:R7/100,$I$22:$R$22)</f>
        <v>0</v>
      </c>
      <c r="Y7" s="24">
        <f t="array" ref="Y7">SUMPRODUCT(I7:R7/100,$I$24:$R$24)</f>
        <v>0</v>
      </c>
      <c r="Z7" s="24">
        <f t="array" ref="Z7">SUMPRODUCT(I7:R7/100,$I$25:$R$25)</f>
        <v>0</v>
      </c>
      <c r="AA7" s="24">
        <f t="array" ref="AA7">SUMPRODUCT(I7:R7/100,$I$26:$R$26)</f>
        <v>0</v>
      </c>
      <c r="AB7" s="24">
        <f t="array" ref="AB7">SUMPRODUCT(I7:R7/100,$I$27:$R$27)</f>
        <v>0</v>
      </c>
      <c r="AC7" s="24">
        <f t="array" ref="AC7">SUMPRODUCT(I7:R7/100,$I$28:$R$28)</f>
        <v>0</v>
      </c>
      <c r="AD7" s="24">
        <f t="array" ref="AD7">SUMPRODUCT(I7:R7/100,$I$29:$R$29)</f>
        <v>0</v>
      </c>
    </row>
    <row r="8" spans="1:30" x14ac:dyDescent="0.25">
      <c r="A8">
        <v>45</v>
      </c>
      <c r="E8">
        <v>5095.785598525872</v>
      </c>
      <c r="F8">
        <v>1747.4442631541449</v>
      </c>
      <c r="G8">
        <v>392.166165456003</v>
      </c>
      <c r="H8">
        <v>2956.1751699157239</v>
      </c>
      <c r="I8">
        <v>2.57</v>
      </c>
      <c r="J8">
        <v>0</v>
      </c>
      <c r="K8">
        <v>4</v>
      </c>
      <c r="L8">
        <v>73.430000000000007</v>
      </c>
      <c r="M8">
        <v>20</v>
      </c>
      <c r="N8">
        <v>0</v>
      </c>
      <c r="O8">
        <v>0</v>
      </c>
      <c r="P8">
        <v>0</v>
      </c>
      <c r="Q8">
        <v>0</v>
      </c>
      <c r="R8">
        <v>0</v>
      </c>
      <c r="U8">
        <f t="shared" si="0"/>
        <v>0.18328858385250393</v>
      </c>
      <c r="V8">
        <f t="shared" si="1"/>
        <v>22.57</v>
      </c>
      <c r="W8" s="24">
        <f t="array" ref="W8">SUMPRODUCT(I8:R8/100,$I$21:$R$21)</f>
        <v>0</v>
      </c>
      <c r="X8" s="24">
        <f t="array" ref="X8">SUMPRODUCT(I8:R8/100,$I$22:$R$22)</f>
        <v>0</v>
      </c>
      <c r="Y8" s="24">
        <f t="array" ref="Y8">SUMPRODUCT(I8:R8/100,$I$24:$R$24)</f>
        <v>0</v>
      </c>
      <c r="Z8" s="24">
        <f t="array" ref="Z8">SUMPRODUCT(I8:R8/100,$I$25:$R$25)</f>
        <v>0</v>
      </c>
      <c r="AA8" s="24">
        <f t="array" ref="AA8">SUMPRODUCT(I8:R8/100,$I$26:$R$26)</f>
        <v>0</v>
      </c>
      <c r="AB8" s="24">
        <f t="array" ref="AB8">SUMPRODUCT(I8:R8/100,$I$27:$R$27)</f>
        <v>0</v>
      </c>
      <c r="AC8" s="24">
        <f t="array" ref="AC8">SUMPRODUCT(I8:R8/100,$I$28:$R$28)</f>
        <v>0</v>
      </c>
      <c r="AD8" s="24">
        <f t="array" ref="AD8">SUMPRODUCT(I8:R8/100,$I$29:$R$29)</f>
        <v>0</v>
      </c>
    </row>
    <row r="9" spans="1:30" x14ac:dyDescent="0.25">
      <c r="A9">
        <v>33</v>
      </c>
      <c r="E9">
        <v>7062.4224286510434</v>
      </c>
      <c r="F9">
        <v>2588.0213395451369</v>
      </c>
      <c r="G9">
        <v>534.20242195087314</v>
      </c>
      <c r="H9">
        <v>3940.198667155033</v>
      </c>
      <c r="I9">
        <v>7.34</v>
      </c>
      <c r="J9">
        <v>0</v>
      </c>
      <c r="K9">
        <v>2.93</v>
      </c>
      <c r="L9">
        <v>5.08</v>
      </c>
      <c r="M9">
        <v>20</v>
      </c>
      <c r="N9">
        <v>62.65</v>
      </c>
      <c r="O9">
        <v>0</v>
      </c>
      <c r="P9">
        <v>0</v>
      </c>
      <c r="Q9">
        <v>2</v>
      </c>
      <c r="R9">
        <v>0</v>
      </c>
      <c r="U9">
        <f t="shared" si="0"/>
        <v>0.17109677677134538</v>
      </c>
      <c r="V9">
        <f t="shared" si="1"/>
        <v>29.34</v>
      </c>
      <c r="W9" s="24">
        <f t="array" ref="W9">SUMPRODUCT(I9:R9/100,$I$21:$R$21)</f>
        <v>0</v>
      </c>
      <c r="X9" s="24">
        <f t="array" ref="X9">SUMPRODUCT(I9:R9/100,$I$22:$R$22)</f>
        <v>0</v>
      </c>
      <c r="Y9" s="24">
        <f t="array" ref="Y9">SUMPRODUCT(I9:R9/100,$I$24:$R$24)</f>
        <v>0</v>
      </c>
      <c r="Z9" s="24">
        <f t="array" ref="Z9">SUMPRODUCT(I9:R9/100,$I$25:$R$25)</f>
        <v>0</v>
      </c>
      <c r="AA9" s="24">
        <f t="array" ref="AA9">SUMPRODUCT(I9:R9/100,$I$26:$R$26)</f>
        <v>0</v>
      </c>
      <c r="AB9" s="24">
        <f t="array" ref="AB9">SUMPRODUCT(I9:R9/100,$I$27:$R$27)</f>
        <v>0</v>
      </c>
      <c r="AC9" s="24">
        <f t="array" ref="AC9">SUMPRODUCT(I9:R9/100,$I$28:$R$28)</f>
        <v>0</v>
      </c>
      <c r="AD9" s="24">
        <f t="array" ref="AD9">SUMPRODUCT(I9:R9/100,$I$29:$R$29)</f>
        <v>0</v>
      </c>
    </row>
    <row r="10" spans="1:30" x14ac:dyDescent="0.25">
      <c r="A10">
        <v>28</v>
      </c>
      <c r="E10">
        <v>8268.0503610964424</v>
      </c>
      <c r="F10">
        <v>3063.2250984733751</v>
      </c>
      <c r="G10">
        <v>632.43721525058822</v>
      </c>
      <c r="H10">
        <v>4572.3880473724803</v>
      </c>
      <c r="I10">
        <v>7.36</v>
      </c>
      <c r="J10">
        <v>0</v>
      </c>
      <c r="K10">
        <v>2.4900000000000002</v>
      </c>
      <c r="L10">
        <v>4.3099999999999996</v>
      </c>
      <c r="M10">
        <v>20</v>
      </c>
      <c r="N10">
        <v>63.52</v>
      </c>
      <c r="O10">
        <v>0</v>
      </c>
      <c r="P10">
        <v>0</v>
      </c>
      <c r="Q10">
        <v>2.3199999999999998</v>
      </c>
      <c r="R10">
        <v>0</v>
      </c>
      <c r="U10">
        <f t="shared" si="0"/>
        <v>0.17112960047838027</v>
      </c>
      <c r="V10">
        <f t="shared" si="1"/>
        <v>29.68</v>
      </c>
      <c r="W10" s="24">
        <f t="array" ref="W10">SUMPRODUCT(I10:R10/100,$I$21:$R$21)</f>
        <v>0</v>
      </c>
      <c r="X10" s="24">
        <f t="array" ref="X10">SUMPRODUCT(I10:R10/100,$I$22:$R$22)</f>
        <v>0</v>
      </c>
      <c r="Y10" s="24">
        <f t="array" ref="Y10">SUMPRODUCT(I10:R10/100,$I$24:$R$24)</f>
        <v>0</v>
      </c>
      <c r="Z10" s="24">
        <f t="array" ref="Z10">SUMPRODUCT(I10:R10/100,$I$25:$R$25)</f>
        <v>0</v>
      </c>
      <c r="AA10" s="24">
        <f t="array" ref="AA10">SUMPRODUCT(I10:R10/100,$I$26:$R$26)</f>
        <v>0</v>
      </c>
      <c r="AB10" s="24">
        <f t="array" ref="AB10">SUMPRODUCT(I10:R10/100,$I$27:$R$27)</f>
        <v>0</v>
      </c>
      <c r="AC10" s="24">
        <f t="array" ref="AC10">SUMPRODUCT(I10:R10/100,$I$28:$R$28)</f>
        <v>0</v>
      </c>
      <c r="AD10" s="24">
        <f t="array" ref="AD10">SUMPRODUCT(I10:R10/100,$I$29:$R$29)</f>
        <v>0</v>
      </c>
    </row>
    <row r="11" spans="1:30" x14ac:dyDescent="0.25">
      <c r="A11">
        <v>23</v>
      </c>
      <c r="E11">
        <v>9936.0284636689448</v>
      </c>
      <c r="F11">
        <v>3744.656260802426</v>
      </c>
      <c r="G11">
        <v>775.86979575709245</v>
      </c>
      <c r="H11">
        <v>5415.5024071094294</v>
      </c>
      <c r="I11">
        <v>7.33</v>
      </c>
      <c r="J11">
        <v>0.02</v>
      </c>
      <c r="K11">
        <v>2.04</v>
      </c>
      <c r="L11">
        <v>3.54</v>
      </c>
      <c r="M11">
        <v>20</v>
      </c>
      <c r="N11">
        <v>64.400000000000006</v>
      </c>
      <c r="O11">
        <v>0</v>
      </c>
      <c r="P11">
        <v>0</v>
      </c>
      <c r="Q11">
        <v>2.67</v>
      </c>
      <c r="R11">
        <v>0</v>
      </c>
      <c r="U11">
        <f t="shared" si="0"/>
        <v>0.17163263435485901</v>
      </c>
      <c r="V11">
        <f t="shared" si="1"/>
        <v>30</v>
      </c>
      <c r="W11" s="24">
        <f t="array" ref="W11">SUMPRODUCT(I11:R11/100,$I$21:$R$21)</f>
        <v>0</v>
      </c>
      <c r="X11" s="24">
        <f t="array" ref="X11">SUMPRODUCT(I11:R11/100,$I$22:$R$22)</f>
        <v>0</v>
      </c>
      <c r="Y11" s="24">
        <f t="array" ref="Y11">SUMPRODUCT(I11:R11/100,$I$24:$R$24)</f>
        <v>0</v>
      </c>
      <c r="Z11" s="24">
        <f t="array" ref="Z11">SUMPRODUCT(I11:R11/100,$I$25:$R$25)</f>
        <v>0</v>
      </c>
      <c r="AA11" s="24">
        <f t="array" ref="AA11">SUMPRODUCT(I11:R11/100,$I$26:$R$26)</f>
        <v>0</v>
      </c>
      <c r="AB11" s="24">
        <f t="array" ref="AB11">SUMPRODUCT(I11:R11/100,$I$27:$R$27)</f>
        <v>0</v>
      </c>
      <c r="AC11" s="24">
        <f t="array" ref="AC11">SUMPRODUCT(I11:R11/100,$I$28:$R$28)</f>
        <v>0</v>
      </c>
      <c r="AD11" s="24">
        <f t="array" ref="AD11">SUMPRODUCT(I11:R11/100,$I$29:$R$29)</f>
        <v>0</v>
      </c>
    </row>
    <row r="12" spans="1:30" x14ac:dyDescent="0.25">
      <c r="A12">
        <v>35</v>
      </c>
      <c r="E12">
        <v>6669.7676700838401</v>
      </c>
      <c r="F12">
        <v>2435.9561366880998</v>
      </c>
      <c r="G12">
        <v>503.000190750336</v>
      </c>
      <c r="H12">
        <v>3730.81</v>
      </c>
      <c r="I12">
        <v>7.34</v>
      </c>
      <c r="J12">
        <v>0</v>
      </c>
      <c r="K12">
        <v>3.11</v>
      </c>
      <c r="L12">
        <v>5.38</v>
      </c>
      <c r="M12">
        <v>20</v>
      </c>
      <c r="N12">
        <v>62.31</v>
      </c>
      <c r="O12">
        <v>0</v>
      </c>
      <c r="P12">
        <v>0</v>
      </c>
      <c r="Q12">
        <v>1.87</v>
      </c>
      <c r="R12">
        <v>0</v>
      </c>
      <c r="U12">
        <f t="shared" si="0"/>
        <v>0.17114925664402295</v>
      </c>
      <c r="V12">
        <f t="shared" si="1"/>
        <v>29.21</v>
      </c>
      <c r="W12" s="24">
        <f t="array" ref="W12">SUMPRODUCT(I12:R12/100,$I$21:$R$21)</f>
        <v>0</v>
      </c>
      <c r="X12" s="24">
        <f t="array" ref="X12">SUMPRODUCT(I12:R12/100,$I$22:$R$22)</f>
        <v>0</v>
      </c>
      <c r="Y12" s="24">
        <f t="array" ref="Y12">SUMPRODUCT(I12:R12/100,$I$24:$R$24)</f>
        <v>0</v>
      </c>
      <c r="Z12" s="24">
        <f t="array" ref="Z12">SUMPRODUCT(I12:R12/100,$I$25:$R$25)</f>
        <v>0</v>
      </c>
      <c r="AA12" s="24">
        <f t="array" ref="AA12">SUMPRODUCT(I12:R12/100,$I$26:$R$26)</f>
        <v>0</v>
      </c>
      <c r="AB12" s="24">
        <f t="array" ref="AB12">SUMPRODUCT(I12:R12/100,$I$27:$R$27)</f>
        <v>0</v>
      </c>
      <c r="AC12" s="24">
        <f t="array" ref="AC12">SUMPRODUCT(I12:R12/100,$I$28:$R$28)</f>
        <v>0</v>
      </c>
      <c r="AD12" s="24">
        <f t="array" ref="AD12">SUMPRODUCT(I12:R12/100,$I$29:$R$29)</f>
        <v>0</v>
      </c>
    </row>
    <row r="13" spans="1:30" x14ac:dyDescent="0.25">
      <c r="A13">
        <v>36</v>
      </c>
      <c r="E13">
        <v>6447.9741083741646</v>
      </c>
      <c r="F13">
        <v>2322.948790604622</v>
      </c>
      <c r="G13">
        <v>490.01923275730388</v>
      </c>
      <c r="H13">
        <v>3635.0060850122381</v>
      </c>
      <c r="I13">
        <v>7.29</v>
      </c>
      <c r="J13">
        <v>0</v>
      </c>
      <c r="K13">
        <v>3.2</v>
      </c>
      <c r="L13">
        <v>27.59</v>
      </c>
      <c r="M13">
        <v>20</v>
      </c>
      <c r="N13">
        <v>41.92</v>
      </c>
      <c r="O13">
        <v>0</v>
      </c>
      <c r="P13">
        <v>0</v>
      </c>
      <c r="Q13">
        <v>0</v>
      </c>
      <c r="R13">
        <v>0</v>
      </c>
      <c r="U13">
        <f t="shared" si="0"/>
        <v>0.17420007219693032</v>
      </c>
      <c r="V13">
        <f t="shared" si="1"/>
        <v>27.29</v>
      </c>
      <c r="W13" s="24">
        <f t="array" ref="W13">SUMPRODUCT(I13:R13/100,$I$21:$R$21)</f>
        <v>0</v>
      </c>
      <c r="X13" s="24">
        <f t="array" ref="X13">SUMPRODUCT(I13:R13/100,$I$22:$R$22)</f>
        <v>0</v>
      </c>
      <c r="Y13" s="24">
        <f t="array" ref="Y13">SUMPRODUCT(I13:R13/100,$I$24:$R$24)</f>
        <v>0</v>
      </c>
      <c r="Z13" s="24">
        <f t="array" ref="Z13">SUMPRODUCT(I13:R13/100,$I$25:$R$25)</f>
        <v>0</v>
      </c>
      <c r="AA13" s="24">
        <f t="array" ref="AA13">SUMPRODUCT(I13:R13/100,$I$26:$R$26)</f>
        <v>0</v>
      </c>
      <c r="AB13" s="24">
        <f t="array" ref="AB13">SUMPRODUCT(I13:R13/100,$I$27:$R$27)</f>
        <v>0</v>
      </c>
      <c r="AC13" s="24">
        <f t="array" ref="AC13">SUMPRODUCT(I13:R13/100,$I$28:$R$28)</f>
        <v>0</v>
      </c>
      <c r="AD13" s="24">
        <f t="array" ref="AD13">SUMPRODUCT(I13:R13/100,$I$29:$R$29)</f>
        <v>0</v>
      </c>
    </row>
    <row r="14" spans="1:30" x14ac:dyDescent="0.25">
      <c r="A14">
        <v>37.000000000000007</v>
      </c>
      <c r="E14">
        <v>6280.215960519281</v>
      </c>
      <c r="F14">
        <v>2259.7218790948682</v>
      </c>
      <c r="G14">
        <v>476.40887654939922</v>
      </c>
      <c r="H14">
        <v>3544.0852048750139</v>
      </c>
      <c r="I14">
        <v>7.29</v>
      </c>
      <c r="J14">
        <v>0</v>
      </c>
      <c r="K14">
        <v>3.29</v>
      </c>
      <c r="L14">
        <v>26.94</v>
      </c>
      <c r="M14">
        <v>20</v>
      </c>
      <c r="N14">
        <v>42.48</v>
      </c>
      <c r="O14">
        <v>0</v>
      </c>
      <c r="P14">
        <v>0</v>
      </c>
      <c r="Q14">
        <v>0</v>
      </c>
      <c r="R14">
        <v>0</v>
      </c>
      <c r="U14">
        <f t="shared" si="0"/>
        <v>0.17411773014379234</v>
      </c>
      <c r="V14">
        <f t="shared" si="1"/>
        <v>27.29</v>
      </c>
      <c r="W14" s="24">
        <f t="array" ref="W14">SUMPRODUCT(I14:R14/100,$I$21:$R$21)</f>
        <v>0</v>
      </c>
      <c r="X14" s="24">
        <f t="array" ref="X14">SUMPRODUCT(I14:R14/100,$I$22:$R$22)</f>
        <v>0</v>
      </c>
      <c r="Y14" s="24">
        <f t="array" ref="Y14">SUMPRODUCT(I14:R14/100,$I$24:$R$24)</f>
        <v>0</v>
      </c>
      <c r="Z14" s="24">
        <f t="array" ref="Z14">SUMPRODUCT(I14:R14/100,$I$25:$R$25)</f>
        <v>0</v>
      </c>
      <c r="AA14" s="24">
        <f t="array" ref="AA14">SUMPRODUCT(I14:R14/100,$I$26:$R$26)</f>
        <v>0</v>
      </c>
      <c r="AB14" s="24">
        <f t="array" ref="AB14">SUMPRODUCT(I14:R14/100,$I$27:$R$27)</f>
        <v>0</v>
      </c>
      <c r="AC14" s="24">
        <f t="array" ref="AC14">SUMPRODUCT(I14:R14/100,$I$28:$R$28)</f>
        <v>0</v>
      </c>
      <c r="AD14" s="24">
        <f t="array" ref="AD14">SUMPRODUCT(I14:R14/100,$I$29:$R$29)</f>
        <v>0</v>
      </c>
    </row>
    <row r="15" spans="1:30" x14ac:dyDescent="0.25">
      <c r="A15">
        <v>38</v>
      </c>
      <c r="E15">
        <v>6120.5805842614709</v>
      </c>
      <c r="F15">
        <v>2199.8226997698371</v>
      </c>
      <c r="G15">
        <v>463.51485487875271</v>
      </c>
      <c r="H15">
        <v>3457.2430296128819</v>
      </c>
      <c r="I15">
        <v>7.29</v>
      </c>
      <c r="J15">
        <v>0</v>
      </c>
      <c r="K15">
        <v>3.38</v>
      </c>
      <c r="L15">
        <v>26.3</v>
      </c>
      <c r="M15">
        <v>20</v>
      </c>
      <c r="N15">
        <v>43.04</v>
      </c>
      <c r="O15">
        <v>0</v>
      </c>
      <c r="P15">
        <v>0</v>
      </c>
      <c r="Q15">
        <v>0</v>
      </c>
      <c r="R15">
        <v>0</v>
      </c>
      <c r="U15">
        <f t="shared" si="0"/>
        <v>0.17403533925684103</v>
      </c>
      <c r="V15">
        <f t="shared" si="1"/>
        <v>27.29</v>
      </c>
      <c r="W15" s="24">
        <f t="array" ref="W15">SUMPRODUCT(I15:R15/100,$I$21:$R$21)</f>
        <v>0</v>
      </c>
      <c r="X15" s="24">
        <f t="array" ref="X15">SUMPRODUCT(I15:R15/100,$I$22:$R$22)</f>
        <v>0</v>
      </c>
      <c r="Y15" s="24">
        <f t="array" ref="Y15">SUMPRODUCT(I15:R15/100,$I$24:$R$24)</f>
        <v>0</v>
      </c>
      <c r="Z15" s="24">
        <f t="array" ref="Z15">SUMPRODUCT(I15:R15/100,$I$25:$R$25)</f>
        <v>0</v>
      </c>
      <c r="AA15" s="24">
        <f t="array" ref="AA15">SUMPRODUCT(I15:R15/100,$I$26:$R$26)</f>
        <v>0</v>
      </c>
      <c r="AB15" s="24">
        <f t="array" ref="AB15">SUMPRODUCT(I15:R15/100,$I$27:$R$27)</f>
        <v>0</v>
      </c>
      <c r="AC15" s="24">
        <f t="array" ref="AC15">SUMPRODUCT(I15:R15/100,$I$28:$R$28)</f>
        <v>0</v>
      </c>
      <c r="AD15" s="24">
        <f t="array" ref="AD15">SUMPRODUCT(I15:R15/100,$I$29:$R$29)</f>
        <v>0</v>
      </c>
    </row>
    <row r="16" spans="1:30" x14ac:dyDescent="0.25">
      <c r="A16">
        <v>39.000000000000007</v>
      </c>
      <c r="E16">
        <v>5966.2428031122136</v>
      </c>
      <c r="F16">
        <v>2140.7099875659551</v>
      </c>
      <c r="G16">
        <v>451.27554153716352</v>
      </c>
      <c r="H16">
        <v>3374.2572740090959</v>
      </c>
      <c r="I16">
        <v>7.2</v>
      </c>
      <c r="J16">
        <v>0</v>
      </c>
      <c r="K16">
        <v>3.47</v>
      </c>
      <c r="L16">
        <v>26.6</v>
      </c>
      <c r="M16">
        <v>20</v>
      </c>
      <c r="N16">
        <v>42.73</v>
      </c>
      <c r="O16">
        <v>0</v>
      </c>
      <c r="P16">
        <v>0</v>
      </c>
      <c r="Q16">
        <v>0</v>
      </c>
      <c r="R16">
        <v>0</v>
      </c>
      <c r="U16">
        <f t="shared" si="0"/>
        <v>0.17410419019326637</v>
      </c>
      <c r="V16">
        <f t="shared" si="1"/>
        <v>27.2</v>
      </c>
      <c r="W16" s="24">
        <f t="array" ref="W16">SUMPRODUCT(I16:R16/100,$I$21:$R$21)</f>
        <v>0</v>
      </c>
      <c r="X16" s="24">
        <f t="array" ref="X16">SUMPRODUCT(I16:R16/100,$I$22:$R$22)</f>
        <v>0</v>
      </c>
      <c r="Y16" s="24">
        <f t="array" ref="Y16">SUMPRODUCT(I16:R16/100,$I$24:$R$24)</f>
        <v>0</v>
      </c>
      <c r="Z16" s="24">
        <f t="array" ref="Z16">SUMPRODUCT(I16:R16/100,$I$25:$R$25)</f>
        <v>0</v>
      </c>
      <c r="AA16" s="24">
        <f t="array" ref="AA16">SUMPRODUCT(I16:R16/100,$I$26:$R$26)</f>
        <v>0</v>
      </c>
      <c r="AB16" s="24">
        <f t="array" ref="AB16">SUMPRODUCT(I16:R16/100,$I$27:$R$27)</f>
        <v>0</v>
      </c>
      <c r="AC16" s="24">
        <f t="array" ref="AC16">SUMPRODUCT(I16:R16/100,$I$28:$R$28)</f>
        <v>0</v>
      </c>
      <c r="AD16" s="24">
        <f t="array" ref="AD16">SUMPRODUCT(I16:R16/100,$I$29:$R$29)</f>
        <v>0</v>
      </c>
    </row>
    <row r="17" spans="1:22" x14ac:dyDescent="0.25">
      <c r="A17" s="5"/>
      <c r="E17" s="16"/>
      <c r="V17" s="16"/>
    </row>
    <row r="18" spans="1:22" x14ac:dyDescent="0.25"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22" x14ac:dyDescent="0.25">
      <c r="I19" s="18"/>
      <c r="K19" s="18"/>
      <c r="L19" s="21"/>
      <c r="M19" s="20"/>
      <c r="O19" s="18"/>
      <c r="P19" s="18"/>
      <c r="Q19" s="18"/>
      <c r="R19" s="18"/>
    </row>
    <row r="20" spans="1:22" x14ac:dyDescent="0.25">
      <c r="I20" s="16"/>
      <c r="J20" s="16"/>
      <c r="K20" s="16"/>
      <c r="L20" s="16"/>
      <c r="M20" s="16"/>
      <c r="N20" s="16"/>
      <c r="O20" s="16"/>
      <c r="P20" s="16"/>
      <c r="Q20" s="16"/>
      <c r="R20" s="16"/>
    </row>
    <row r="21" spans="1:22" x14ac:dyDescent="0.25"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spans="1:22" x14ac:dyDescent="0.25">
      <c r="I22" s="16"/>
      <c r="J22" s="16"/>
      <c r="K22" s="16"/>
      <c r="L22" s="16"/>
      <c r="M22" s="16"/>
      <c r="N22" s="16"/>
      <c r="O22" s="16"/>
      <c r="P22" s="16"/>
      <c r="Q22" s="16"/>
      <c r="R22" s="16"/>
    </row>
    <row r="23" spans="1:22" x14ac:dyDescent="0.25">
      <c r="L23" s="16"/>
      <c r="M23" s="16"/>
    </row>
    <row r="24" spans="1:22" x14ac:dyDescent="0.25">
      <c r="L24" s="21"/>
      <c r="M24" s="21"/>
    </row>
    <row r="25" spans="1:22" x14ac:dyDescent="0.25">
      <c r="I25" s="19"/>
      <c r="J25" s="19"/>
      <c r="K25" s="19"/>
      <c r="L25" s="22"/>
      <c r="M25" s="22"/>
      <c r="N25" s="19"/>
      <c r="O25" s="19"/>
      <c r="P25" s="19"/>
      <c r="Q25" s="19"/>
      <c r="R25" s="19"/>
    </row>
    <row r="26" spans="1:22" x14ac:dyDescent="0.25">
      <c r="I26" s="20"/>
      <c r="J26" s="18"/>
      <c r="K26" s="18"/>
      <c r="L26" s="21"/>
      <c r="M26" s="21"/>
      <c r="N26" s="18"/>
      <c r="O26" s="18"/>
      <c r="P26" s="18"/>
      <c r="Q26" s="18"/>
      <c r="R26" s="18"/>
    </row>
    <row r="27" spans="1:22" x14ac:dyDescent="0.25">
      <c r="I27" s="18"/>
      <c r="J27" s="18"/>
      <c r="K27" s="18"/>
      <c r="L27" s="21"/>
      <c r="M27" s="21"/>
      <c r="N27" s="18"/>
      <c r="O27" s="18"/>
      <c r="P27" s="18"/>
      <c r="Q27" s="18"/>
      <c r="R27" s="18"/>
    </row>
    <row r="28" spans="1:22" x14ac:dyDescent="0.25">
      <c r="I28" s="18"/>
      <c r="J28" s="20"/>
      <c r="K28" s="18"/>
      <c r="L28" s="21"/>
      <c r="M28" s="21"/>
      <c r="N28" s="18"/>
      <c r="O28" s="18"/>
      <c r="P28" s="18"/>
      <c r="Q28" s="18"/>
      <c r="R28" s="18"/>
    </row>
    <row r="29" spans="1:22" x14ac:dyDescent="0.25">
      <c r="I29" s="18"/>
      <c r="J29" s="18"/>
      <c r="K29" s="18"/>
      <c r="L29" s="21"/>
      <c r="M29" s="21"/>
      <c r="N29" s="18"/>
      <c r="O29" s="18"/>
      <c r="P29" s="18"/>
      <c r="Q29" s="18"/>
      <c r="R29" s="18"/>
    </row>
    <row r="30" spans="1:22" x14ac:dyDescent="0.25">
      <c r="I30" s="20"/>
      <c r="J30" s="18"/>
      <c r="K30" s="18"/>
      <c r="L30" s="21"/>
      <c r="M30" s="21"/>
      <c r="N30" s="20"/>
      <c r="O30" s="20"/>
      <c r="P30" s="20"/>
      <c r="Q30" s="20"/>
      <c r="R30" s="20"/>
    </row>
    <row r="33" spans="5:5" x14ac:dyDescent="0.25">
      <c r="E33" s="16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50"/>
  <sheetViews>
    <sheetView zoomScale="80" zoomScaleNormal="80" workbookViewId="0">
      <selection activeCell="H4" sqref="H4"/>
    </sheetView>
  </sheetViews>
  <sheetFormatPr defaultRowHeight="15" x14ac:dyDescent="0.25"/>
  <sheetData>
    <row r="1" spans="1:25" x14ac:dyDescent="0.25">
      <c r="A1" s="10" t="s">
        <v>1</v>
      </c>
      <c r="B1" s="11" t="s">
        <v>3</v>
      </c>
      <c r="C1" s="11" t="s">
        <v>5</v>
      </c>
      <c r="D1" s="11" t="s">
        <v>6</v>
      </c>
      <c r="E1" s="11" t="s">
        <v>7</v>
      </c>
      <c r="F1" s="11" t="s">
        <v>9</v>
      </c>
      <c r="G1" s="11" t="s">
        <v>10</v>
      </c>
      <c r="H1" s="11" t="s">
        <v>11</v>
      </c>
      <c r="I1" s="5" t="s">
        <v>12</v>
      </c>
      <c r="J1" s="5" t="s">
        <v>14</v>
      </c>
      <c r="K1" s="5" t="s">
        <v>15</v>
      </c>
      <c r="L1" s="5" t="s">
        <v>16</v>
      </c>
      <c r="M1" s="5" t="s">
        <v>17</v>
      </c>
      <c r="N1" s="5" t="s">
        <v>18</v>
      </c>
      <c r="O1" s="5" t="s">
        <v>19</v>
      </c>
      <c r="P1" s="5" t="s">
        <v>20</v>
      </c>
      <c r="Q1" s="5" t="s">
        <v>21</v>
      </c>
      <c r="R1" s="8" t="s">
        <v>22</v>
      </c>
      <c r="S1" s="5" t="s">
        <v>23</v>
      </c>
      <c r="T1" s="5" t="s">
        <v>24</v>
      </c>
      <c r="U1" s="5" t="s">
        <v>29</v>
      </c>
    </row>
    <row r="2" spans="1:25" x14ac:dyDescent="0.25">
      <c r="A2">
        <v>20.000000000000011</v>
      </c>
      <c r="B2" s="14">
        <v>7.1555562541554156</v>
      </c>
      <c r="C2" s="14">
        <v>5.9117357790094571</v>
      </c>
      <c r="D2" s="14">
        <v>9.5970518243761624</v>
      </c>
      <c r="E2" s="15">
        <v>9440.6598611374902</v>
      </c>
      <c r="F2" s="15">
        <v>5184.4964306946658</v>
      </c>
      <c r="G2" s="15">
        <v>899.00210212035256</v>
      </c>
      <c r="H2" s="15">
        <v>3357.161328322471</v>
      </c>
      <c r="I2" s="14">
        <v>7.37</v>
      </c>
      <c r="J2" s="14">
        <v>0</v>
      </c>
      <c r="K2" s="14">
        <v>2.11</v>
      </c>
      <c r="L2" s="14">
        <v>3.37</v>
      </c>
      <c r="M2" s="14">
        <v>20</v>
      </c>
      <c r="N2" s="14">
        <v>64.52</v>
      </c>
      <c r="O2" s="14">
        <v>0</v>
      </c>
      <c r="P2" s="14">
        <v>0</v>
      </c>
      <c r="Q2" s="14">
        <v>2.63</v>
      </c>
      <c r="R2" s="14">
        <v>0</v>
      </c>
      <c r="S2" t="b">
        <v>1</v>
      </c>
      <c r="T2" t="b">
        <v>1</v>
      </c>
      <c r="U2">
        <v>0.99</v>
      </c>
    </row>
    <row r="3" spans="1:25" x14ac:dyDescent="0.25">
      <c r="A3">
        <v>20</v>
      </c>
      <c r="B3" s="14">
        <v>7.1555559999999998</v>
      </c>
      <c r="C3" s="14">
        <v>5.4003480000000001</v>
      </c>
      <c r="D3" s="14">
        <v>7.7404549999999999</v>
      </c>
      <c r="E3" s="15">
        <v>9440.6598611374902</v>
      </c>
      <c r="F3" s="15">
        <v>5180.6269750621323</v>
      </c>
      <c r="G3" s="15">
        <v>899.0021021203529</v>
      </c>
      <c r="H3" s="15">
        <v>3361.0307839550051</v>
      </c>
      <c r="I3" s="12">
        <v>7.37</v>
      </c>
      <c r="J3" s="12">
        <v>0</v>
      </c>
      <c r="K3" s="12">
        <v>2.11</v>
      </c>
      <c r="L3" s="12">
        <v>3.37</v>
      </c>
      <c r="M3" s="12">
        <v>20</v>
      </c>
      <c r="N3" s="12">
        <v>64.52</v>
      </c>
      <c r="O3" s="12">
        <v>0</v>
      </c>
      <c r="P3" s="12">
        <v>0</v>
      </c>
      <c r="Q3" s="12">
        <v>2.63</v>
      </c>
      <c r="R3" s="12">
        <v>0</v>
      </c>
      <c r="S3" t="b">
        <v>1</v>
      </c>
      <c r="T3" t="b">
        <v>1</v>
      </c>
      <c r="U3">
        <v>0.95</v>
      </c>
      <c r="V3" s="15"/>
      <c r="W3" s="15"/>
      <c r="X3" s="15"/>
      <c r="Y3" s="15"/>
    </row>
    <row r="4" spans="1:25" x14ac:dyDescent="0.25">
      <c r="A4">
        <v>20</v>
      </c>
      <c r="B4" s="14">
        <v>7.1555562541554156</v>
      </c>
      <c r="C4" s="14">
        <v>5.0192252900869141</v>
      </c>
      <c r="D4" s="14">
        <v>6.7861404244151116</v>
      </c>
      <c r="E4" s="15">
        <v>9441.1534714786249</v>
      </c>
      <c r="F4" s="15">
        <v>5178.1914696215363</v>
      </c>
      <c r="G4" s="15">
        <v>899.00889149282864</v>
      </c>
      <c r="H4" s="15">
        <v>3363.9531103642598</v>
      </c>
      <c r="I4" s="12">
        <v>7.37</v>
      </c>
      <c r="J4" s="12">
        <v>0</v>
      </c>
      <c r="K4" s="12">
        <v>2.1</v>
      </c>
      <c r="L4" s="12">
        <v>3.37</v>
      </c>
      <c r="M4" s="12">
        <v>20</v>
      </c>
      <c r="N4" s="12">
        <v>64.53</v>
      </c>
      <c r="O4" s="12">
        <v>0</v>
      </c>
      <c r="P4" s="12">
        <v>0</v>
      </c>
      <c r="Q4" s="12">
        <v>2.63</v>
      </c>
      <c r="R4" s="12">
        <v>0</v>
      </c>
      <c r="S4" t="b">
        <v>1</v>
      </c>
      <c r="T4" t="b">
        <v>1</v>
      </c>
      <c r="U4">
        <v>0.9</v>
      </c>
    </row>
    <row r="5" spans="1:25" x14ac:dyDescent="0.25">
      <c r="A5">
        <v>20.000000000000011</v>
      </c>
      <c r="B5" s="14">
        <v>6.5025274285231323</v>
      </c>
      <c r="C5" s="14">
        <v>4.7119488257918896</v>
      </c>
      <c r="D5" s="14">
        <v>5.6735137479944484</v>
      </c>
      <c r="E5" s="15">
        <v>9451.1000441054384</v>
      </c>
      <c r="F5" s="15">
        <v>5166.9531138485881</v>
      </c>
      <c r="G5" s="15">
        <v>898.60028746347746</v>
      </c>
      <c r="H5" s="15">
        <v>3385.546642793372</v>
      </c>
      <c r="I5" s="14">
        <v>7.37</v>
      </c>
      <c r="J5" s="14">
        <v>0</v>
      </c>
      <c r="K5" s="14">
        <v>2.21</v>
      </c>
      <c r="L5" s="14">
        <v>3.08</v>
      </c>
      <c r="M5" s="14">
        <v>20</v>
      </c>
      <c r="N5" s="14">
        <v>64.709999999999994</v>
      </c>
      <c r="O5" s="14">
        <v>0.22</v>
      </c>
      <c r="P5" s="14">
        <v>0</v>
      </c>
      <c r="Q5" s="14">
        <v>2.42</v>
      </c>
      <c r="R5" s="14">
        <v>0</v>
      </c>
      <c r="S5" t="b">
        <v>1</v>
      </c>
      <c r="T5" t="b">
        <v>1</v>
      </c>
      <c r="U5">
        <v>0.8</v>
      </c>
    </row>
    <row r="6" spans="1:25" x14ac:dyDescent="0.25">
      <c r="A6">
        <v>20.000000000000011</v>
      </c>
      <c r="B6" s="14">
        <v>6.5025274285231323</v>
      </c>
      <c r="C6" s="14">
        <v>4.5101408359903159</v>
      </c>
      <c r="D6" s="14">
        <v>4.9070822375948344</v>
      </c>
      <c r="E6" s="15">
        <v>9471.4706425834083</v>
      </c>
      <c r="F6" s="15">
        <v>5164.0054875538954</v>
      </c>
      <c r="G6" s="15">
        <v>898.66130000183273</v>
      </c>
      <c r="H6" s="15">
        <v>3408.803855027681</v>
      </c>
      <c r="I6" s="14">
        <v>7.37</v>
      </c>
      <c r="J6" s="14">
        <v>0</v>
      </c>
      <c r="K6" s="14">
        <v>2.14</v>
      </c>
      <c r="L6" s="14">
        <v>3.74</v>
      </c>
      <c r="M6" s="14">
        <v>20</v>
      </c>
      <c r="N6" s="14">
        <v>64.11</v>
      </c>
      <c r="O6" s="14">
        <v>0.28000000000000003</v>
      </c>
      <c r="P6" s="14">
        <v>0</v>
      </c>
      <c r="Q6" s="14">
        <v>2.35</v>
      </c>
      <c r="R6" s="14">
        <v>0</v>
      </c>
      <c r="S6" t="b">
        <v>1</v>
      </c>
      <c r="T6" t="b">
        <v>1</v>
      </c>
      <c r="U6">
        <v>0.7</v>
      </c>
    </row>
    <row r="7" spans="1:25" x14ac:dyDescent="0.25">
      <c r="A7">
        <v>20.000000000000011</v>
      </c>
      <c r="B7" s="14">
        <v>6.3175257296891161</v>
      </c>
      <c r="C7" s="14">
        <v>4.0672138151448927</v>
      </c>
      <c r="D7" s="14">
        <v>4.2808661083340489</v>
      </c>
      <c r="E7" s="15">
        <v>9495.1925067797147</v>
      </c>
      <c r="F7" s="15">
        <v>5151.0324886520721</v>
      </c>
      <c r="G7" s="15">
        <v>898.85509861206788</v>
      </c>
      <c r="H7" s="15">
        <v>3445.304919515575</v>
      </c>
      <c r="I7" s="14">
        <v>7.35</v>
      </c>
      <c r="J7" s="14">
        <v>0</v>
      </c>
      <c r="K7" s="14">
        <v>2.19</v>
      </c>
      <c r="L7" s="14">
        <v>4.58</v>
      </c>
      <c r="M7" s="14">
        <v>20</v>
      </c>
      <c r="N7" s="14">
        <v>63.22</v>
      </c>
      <c r="O7" s="14">
        <v>0.84</v>
      </c>
      <c r="P7" s="14">
        <v>0</v>
      </c>
      <c r="Q7" s="14">
        <v>1.8</v>
      </c>
      <c r="R7" s="14">
        <v>0</v>
      </c>
      <c r="S7" t="b">
        <v>1</v>
      </c>
      <c r="T7" t="b">
        <v>1</v>
      </c>
      <c r="U7">
        <v>0.6</v>
      </c>
    </row>
    <row r="8" spans="1:25" x14ac:dyDescent="0.25">
      <c r="A8">
        <v>20</v>
      </c>
      <c r="B8" s="14">
        <v>6.3175257296891161</v>
      </c>
      <c r="C8" s="14">
        <v>3.659665555746376</v>
      </c>
      <c r="D8" s="14">
        <v>3.723297411059034</v>
      </c>
      <c r="E8" s="15">
        <v>9551.2698772100048</v>
      </c>
      <c r="F8" s="15">
        <v>5138.3727445681316</v>
      </c>
      <c r="G8" s="15">
        <v>896.96439808109039</v>
      </c>
      <c r="H8" s="15">
        <v>3515.932734560783</v>
      </c>
      <c r="I8" s="14">
        <v>6.67</v>
      </c>
      <c r="J8" s="14">
        <v>0.17</v>
      </c>
      <c r="K8" s="14">
        <v>1.78</v>
      </c>
      <c r="L8" s="14">
        <v>5.0599999999999996</v>
      </c>
      <c r="M8" s="14">
        <v>20</v>
      </c>
      <c r="N8" s="14">
        <v>62.99</v>
      </c>
      <c r="O8" s="14">
        <v>1.06</v>
      </c>
      <c r="P8" s="14">
        <v>0</v>
      </c>
      <c r="Q8" s="14">
        <v>2.27</v>
      </c>
      <c r="R8" s="14">
        <v>0</v>
      </c>
      <c r="S8" t="b">
        <v>1</v>
      </c>
      <c r="T8" t="b">
        <v>1</v>
      </c>
      <c r="U8">
        <v>0.5</v>
      </c>
    </row>
    <row r="9" spans="1:25" x14ac:dyDescent="0.25">
      <c r="A9">
        <v>20</v>
      </c>
      <c r="B9" s="14">
        <v>5.152912050461893</v>
      </c>
      <c r="C9" s="14">
        <v>3.2900729256067378</v>
      </c>
      <c r="D9" s="14">
        <v>3.196327967421337</v>
      </c>
      <c r="E9" s="15">
        <v>9594.7024569913447</v>
      </c>
      <c r="F9" s="15">
        <v>5099.7741398925727</v>
      </c>
      <c r="G9" s="15">
        <v>897.56950173304506</v>
      </c>
      <c r="H9" s="15">
        <v>3597.358815365727</v>
      </c>
      <c r="I9" s="14">
        <v>6.85</v>
      </c>
      <c r="J9" s="14">
        <v>0.22</v>
      </c>
      <c r="K9" s="14">
        <v>1.78</v>
      </c>
      <c r="L9" s="14">
        <v>5.71</v>
      </c>
      <c r="M9" s="14">
        <v>19.170000000000002</v>
      </c>
      <c r="N9" s="14">
        <v>62.3</v>
      </c>
      <c r="O9" s="14">
        <v>1.1599999999999999</v>
      </c>
      <c r="P9" s="14">
        <v>0</v>
      </c>
      <c r="Q9" s="14">
        <v>2.82</v>
      </c>
      <c r="R9" s="14">
        <v>0</v>
      </c>
      <c r="S9" t="b">
        <v>1</v>
      </c>
      <c r="T9" t="b">
        <v>1</v>
      </c>
      <c r="U9">
        <v>0.4</v>
      </c>
    </row>
    <row r="10" spans="1:25" x14ac:dyDescent="0.25">
      <c r="A10">
        <v>20.000000000000011</v>
      </c>
      <c r="B10" s="14">
        <v>5.152912050461893</v>
      </c>
      <c r="C10" s="14">
        <v>3.0176688348470209</v>
      </c>
      <c r="D10" s="14">
        <v>2.670861074405527</v>
      </c>
      <c r="E10" s="15">
        <v>9640.3274229911403</v>
      </c>
      <c r="F10" s="15">
        <v>5056.645000388613</v>
      </c>
      <c r="G10" s="15">
        <v>898.42808663762105</v>
      </c>
      <c r="H10" s="15">
        <v>3685.2543359649062</v>
      </c>
      <c r="I10" s="14">
        <v>7.29</v>
      </c>
      <c r="J10" s="14">
        <v>0</v>
      </c>
      <c r="K10" s="14">
        <v>2.19</v>
      </c>
      <c r="L10" s="14">
        <v>7.01</v>
      </c>
      <c r="M10" s="14">
        <v>18.55</v>
      </c>
      <c r="N10" s="14">
        <v>60.8</v>
      </c>
      <c r="O10" s="14">
        <v>1.1599999999999999</v>
      </c>
      <c r="P10" s="14">
        <v>0</v>
      </c>
      <c r="Q10" s="14">
        <v>3</v>
      </c>
      <c r="R10" s="14">
        <v>0</v>
      </c>
      <c r="S10" t="b">
        <v>1</v>
      </c>
      <c r="T10" t="b">
        <v>1</v>
      </c>
      <c r="U10">
        <v>0.3</v>
      </c>
    </row>
    <row r="11" spans="1:25" x14ac:dyDescent="0.25">
      <c r="A11">
        <v>20</v>
      </c>
      <c r="B11" s="14">
        <v>4.6570550596305296</v>
      </c>
      <c r="C11" s="14">
        <v>2.7067761711410601</v>
      </c>
      <c r="D11" s="14">
        <v>2.1125508340118579</v>
      </c>
      <c r="E11" s="15">
        <v>9565.0974386275284</v>
      </c>
      <c r="F11" s="15">
        <v>4785.5096919818152</v>
      </c>
      <c r="G11" s="15">
        <v>914.1223749501462</v>
      </c>
      <c r="H11" s="15">
        <v>3865.4653716955668</v>
      </c>
      <c r="I11" s="14">
        <v>6.97</v>
      </c>
      <c r="J11" s="14">
        <v>0</v>
      </c>
      <c r="K11" s="14">
        <v>3.09</v>
      </c>
      <c r="L11" s="14">
        <v>8.2899999999999991</v>
      </c>
      <c r="M11" s="14">
        <v>11.58</v>
      </c>
      <c r="N11" s="14">
        <v>58.62</v>
      </c>
      <c r="O11" s="14">
        <v>1.1599999999999999</v>
      </c>
      <c r="P11" s="14">
        <v>0</v>
      </c>
      <c r="Q11" s="14">
        <v>10.3</v>
      </c>
      <c r="R11" s="14">
        <v>0</v>
      </c>
      <c r="S11" t="b">
        <v>1</v>
      </c>
      <c r="T11" t="b">
        <v>1</v>
      </c>
      <c r="U11">
        <v>0.2</v>
      </c>
    </row>
    <row r="12" spans="1:25" x14ac:dyDescent="0.25">
      <c r="A12">
        <v>20</v>
      </c>
      <c r="B12" s="14">
        <v>4.6570550596305296</v>
      </c>
      <c r="C12" s="14">
        <v>2.2181517618861419</v>
      </c>
      <c r="D12" s="14">
        <v>1.4516233372182079</v>
      </c>
      <c r="E12" s="15">
        <v>9926.8119676196784</v>
      </c>
      <c r="F12" s="15">
        <v>4753.8800585706476</v>
      </c>
      <c r="G12" s="15">
        <v>912.07927356941059</v>
      </c>
      <c r="H12" s="15">
        <v>4260.8526354796204</v>
      </c>
      <c r="I12" s="14">
        <v>7.02</v>
      </c>
      <c r="J12" s="14">
        <v>0</v>
      </c>
      <c r="K12" s="14">
        <v>2.2799999999999998</v>
      </c>
      <c r="L12" s="14">
        <v>13.55</v>
      </c>
      <c r="M12" s="14">
        <v>12.31</v>
      </c>
      <c r="N12" s="14">
        <v>54.17</v>
      </c>
      <c r="O12" s="14">
        <v>1.1599999999999999</v>
      </c>
      <c r="P12" s="14">
        <v>0</v>
      </c>
      <c r="Q12" s="14">
        <v>9.51</v>
      </c>
      <c r="R12" s="14">
        <v>0</v>
      </c>
      <c r="S12" t="b">
        <v>1</v>
      </c>
      <c r="T12" t="b">
        <v>1</v>
      </c>
      <c r="U12">
        <v>0.1</v>
      </c>
    </row>
    <row r="13" spans="1:25" x14ac:dyDescent="0.25">
      <c r="A13">
        <v>20.000000000000011</v>
      </c>
      <c r="B13" s="14">
        <v>4.6570550596305296</v>
      </c>
      <c r="C13" s="14">
        <v>2.070141688138833</v>
      </c>
      <c r="D13" s="14">
        <v>1.0128503777710749</v>
      </c>
      <c r="E13" s="15">
        <v>10122.500489463089</v>
      </c>
      <c r="F13" s="15">
        <v>4698.7205364490283</v>
      </c>
      <c r="G13" s="15">
        <v>916.95508494797923</v>
      </c>
      <c r="H13" s="15">
        <v>4506.8248680660872</v>
      </c>
      <c r="I13" s="14">
        <v>6.7</v>
      </c>
      <c r="J13" s="14">
        <v>0.14000000000000001</v>
      </c>
      <c r="K13" s="14">
        <v>1.78</v>
      </c>
      <c r="L13" s="14">
        <v>16.18</v>
      </c>
      <c r="M13" s="14">
        <v>11.38</v>
      </c>
      <c r="N13" s="14">
        <v>51.91</v>
      </c>
      <c r="O13" s="14">
        <v>1.1599999999999999</v>
      </c>
      <c r="P13" s="14">
        <v>0</v>
      </c>
      <c r="Q13" s="14">
        <v>10.77</v>
      </c>
      <c r="R13" s="14">
        <v>0</v>
      </c>
      <c r="S13" t="b">
        <v>1</v>
      </c>
      <c r="T13" t="b">
        <v>1</v>
      </c>
      <c r="U13">
        <v>0.05</v>
      </c>
    </row>
    <row r="14" spans="1:25" x14ac:dyDescent="0.25">
      <c r="A14">
        <v>20</v>
      </c>
      <c r="B14" s="14">
        <v>4.6570550596305296</v>
      </c>
      <c r="C14" s="14">
        <v>1.804729825901729</v>
      </c>
      <c r="D14" s="14">
        <v>0.44833772657454352</v>
      </c>
      <c r="E14" s="15">
        <v>10648.590160582091</v>
      </c>
      <c r="F14" s="15">
        <v>4781.9198220760509</v>
      </c>
      <c r="G14" s="15">
        <v>894.44566511459368</v>
      </c>
      <c r="H14" s="15">
        <v>4972.2246733914481</v>
      </c>
      <c r="I14" s="14">
        <v>5.92</v>
      </c>
      <c r="J14" s="14">
        <v>0</v>
      </c>
      <c r="K14" s="14">
        <v>1.78</v>
      </c>
      <c r="L14" s="14">
        <v>28.39</v>
      </c>
      <c r="M14" s="14">
        <v>20</v>
      </c>
      <c r="N14" s="14">
        <v>41.76</v>
      </c>
      <c r="O14" s="14">
        <v>0.39</v>
      </c>
      <c r="P14" s="14">
        <v>0</v>
      </c>
      <c r="Q14" s="14">
        <v>1.76</v>
      </c>
      <c r="R14" s="14">
        <v>0</v>
      </c>
      <c r="S14" t="b">
        <v>1</v>
      </c>
      <c r="T14" t="b">
        <v>1</v>
      </c>
      <c r="U14">
        <v>0.01</v>
      </c>
    </row>
    <row r="15" spans="1:25" x14ac:dyDescent="0.25">
      <c r="A15">
        <v>50</v>
      </c>
      <c r="B15" s="14">
        <v>7.1555562541554156</v>
      </c>
      <c r="C15" s="14">
        <v>5.9117357790094571</v>
      </c>
      <c r="D15" s="14">
        <v>9.5970518243761624</v>
      </c>
      <c r="E15" s="15">
        <v>3866.7346512292302</v>
      </c>
      <c r="F15" s="15">
        <v>1927.0748995846029</v>
      </c>
      <c r="G15" s="15">
        <v>350.3723284121308</v>
      </c>
      <c r="H15" s="15">
        <v>1589.2874232324959</v>
      </c>
      <c r="I15" s="14">
        <v>7.02</v>
      </c>
      <c r="J15" s="14">
        <v>0</v>
      </c>
      <c r="K15" s="14">
        <v>4.4400000000000004</v>
      </c>
      <c r="L15" s="14">
        <v>72.41</v>
      </c>
      <c r="M15" s="14">
        <v>16.13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t="b">
        <v>1</v>
      </c>
      <c r="T15" t="b">
        <v>1</v>
      </c>
      <c r="U15">
        <v>0.99</v>
      </c>
    </row>
    <row r="16" spans="1:25" x14ac:dyDescent="0.25">
      <c r="A16">
        <v>50</v>
      </c>
      <c r="B16" s="14">
        <v>6.3175257296891161</v>
      </c>
      <c r="C16" s="14">
        <v>3.659665555746376</v>
      </c>
      <c r="D16" s="14">
        <v>3.723297411059034</v>
      </c>
      <c r="E16" s="15">
        <v>3911.59835143185</v>
      </c>
      <c r="F16" s="15">
        <v>1896.8275199611969</v>
      </c>
      <c r="G16" s="15">
        <v>348.6844440475287</v>
      </c>
      <c r="H16" s="15">
        <v>1666.086387423125</v>
      </c>
      <c r="I16" s="14">
        <v>6.92</v>
      </c>
      <c r="J16" s="14">
        <v>0</v>
      </c>
      <c r="K16" s="14">
        <v>4.4400000000000004</v>
      </c>
      <c r="L16" s="14">
        <v>56.77</v>
      </c>
      <c r="M16" s="14">
        <v>13.79</v>
      </c>
      <c r="N16" s="14">
        <v>13.87</v>
      </c>
      <c r="O16" s="14">
        <v>1.34</v>
      </c>
      <c r="P16" s="14">
        <v>0</v>
      </c>
      <c r="Q16" s="14">
        <v>2.87</v>
      </c>
      <c r="R16" s="14">
        <v>0</v>
      </c>
      <c r="S16" t="b">
        <v>1</v>
      </c>
      <c r="T16" t="b">
        <v>1</v>
      </c>
      <c r="U16">
        <v>0.5</v>
      </c>
    </row>
    <row r="17" spans="1:21" x14ac:dyDescent="0.25">
      <c r="A17">
        <v>50</v>
      </c>
      <c r="B17" s="14">
        <v>4.6570550596305296</v>
      </c>
      <c r="C17" s="14">
        <v>2.070141688138833</v>
      </c>
      <c r="D17" s="14">
        <v>1.0128503777710749</v>
      </c>
      <c r="E17" s="15">
        <v>4216.5483354940388</v>
      </c>
      <c r="F17" s="15">
        <v>1790.422510109466</v>
      </c>
      <c r="G17" s="15">
        <v>349.11112073135217</v>
      </c>
      <c r="H17" s="15">
        <v>2077.0147046532202</v>
      </c>
      <c r="I17" s="14">
        <v>6.71</v>
      </c>
      <c r="J17" s="14">
        <v>0</v>
      </c>
      <c r="K17" s="14">
        <v>4.4400000000000004</v>
      </c>
      <c r="L17" s="14">
        <v>44.84</v>
      </c>
      <c r="M17" s="14">
        <v>8.58</v>
      </c>
      <c r="N17" s="14">
        <v>24.11</v>
      </c>
      <c r="O17" s="14">
        <v>2.33</v>
      </c>
      <c r="P17" s="14">
        <v>0</v>
      </c>
      <c r="Q17" s="14">
        <v>8.99</v>
      </c>
      <c r="R17" s="14">
        <v>0</v>
      </c>
      <c r="S17" t="b">
        <v>1</v>
      </c>
      <c r="T17" t="b">
        <v>1</v>
      </c>
      <c r="U17">
        <v>0.05</v>
      </c>
    </row>
    <row r="18" spans="1:21" x14ac:dyDescent="0.25">
      <c r="A18">
        <v>50</v>
      </c>
      <c r="B18" s="14">
        <v>4.6570550596305296</v>
      </c>
      <c r="C18" s="14">
        <v>1.804729825901729</v>
      </c>
      <c r="D18" s="14">
        <v>0.44833772657454352</v>
      </c>
      <c r="E18" s="15">
        <v>4473.5921132200983</v>
      </c>
      <c r="F18" s="15">
        <v>1863.867735087701</v>
      </c>
      <c r="G18" s="15">
        <v>350.2837743110498</v>
      </c>
      <c r="H18" s="15">
        <v>2259.4406038213478</v>
      </c>
      <c r="I18" s="14">
        <v>5.98</v>
      </c>
      <c r="J18" s="14">
        <v>0</v>
      </c>
      <c r="K18" s="14">
        <v>4.4400000000000004</v>
      </c>
      <c r="L18" s="14">
        <v>32.64</v>
      </c>
      <c r="M18" s="14">
        <v>20</v>
      </c>
      <c r="N18" s="14">
        <v>36.94</v>
      </c>
      <c r="O18" s="14">
        <v>0</v>
      </c>
      <c r="P18" s="14">
        <v>0</v>
      </c>
      <c r="Q18" s="14">
        <v>0</v>
      </c>
      <c r="R18" s="14">
        <v>0</v>
      </c>
      <c r="S18" t="b">
        <v>1</v>
      </c>
      <c r="T18" t="b">
        <v>1</v>
      </c>
      <c r="U18">
        <v>0.01</v>
      </c>
    </row>
    <row r="19" spans="1:2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2"/>
      <c r="Q19" s="12"/>
      <c r="R19" s="12"/>
    </row>
    <row r="20" spans="1:21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2"/>
      <c r="Q20" s="12"/>
      <c r="R20" s="12"/>
    </row>
    <row r="21" spans="1:21" x14ac:dyDescent="0.25">
      <c r="A21" s="14"/>
      <c r="C21" s="14"/>
      <c r="D21" s="14"/>
      <c r="E21" s="14"/>
      <c r="F21" s="15"/>
      <c r="G21" s="15"/>
      <c r="H21" s="15"/>
      <c r="I21" s="15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21" x14ac:dyDescent="0.25">
      <c r="C22" s="14"/>
      <c r="D22" s="14"/>
      <c r="E22" s="14"/>
      <c r="F22" s="15"/>
      <c r="G22" s="15"/>
      <c r="H22" s="15"/>
      <c r="I22" s="15"/>
      <c r="J22" s="12"/>
      <c r="K22" s="12"/>
      <c r="L22" s="12"/>
      <c r="M22" s="12"/>
      <c r="N22" s="12"/>
      <c r="O22" s="12"/>
      <c r="P22" s="12"/>
      <c r="Q22" s="12"/>
      <c r="R22" s="12"/>
      <c r="S22" s="12"/>
    </row>
    <row r="23" spans="1:21" x14ac:dyDescent="0.25">
      <c r="C23" s="14"/>
      <c r="D23" s="14"/>
      <c r="E23" s="14"/>
      <c r="F23" s="15"/>
      <c r="G23" s="15"/>
      <c r="H23" s="15"/>
      <c r="I23" s="15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21" x14ac:dyDescent="0.25">
      <c r="C24" s="14"/>
      <c r="D24" s="14"/>
      <c r="E24" s="14"/>
      <c r="F24" s="15"/>
      <c r="G24" s="15"/>
      <c r="H24" s="15"/>
      <c r="I24" s="15"/>
      <c r="J24" s="12"/>
      <c r="K24" s="12"/>
      <c r="L24" s="12"/>
      <c r="M24" s="12"/>
      <c r="N24" s="12"/>
      <c r="O24" s="12"/>
      <c r="P24" s="12"/>
      <c r="Q24" s="12"/>
      <c r="R24" s="12"/>
      <c r="S24" s="12"/>
    </row>
    <row r="25" spans="1:21" x14ac:dyDescent="0.25">
      <c r="C25" s="14"/>
      <c r="D25" s="14"/>
      <c r="E25" s="14"/>
      <c r="F25" s="15"/>
      <c r="G25" s="15"/>
      <c r="H25" s="15"/>
      <c r="I25" s="15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21" x14ac:dyDescent="0.25">
      <c r="C26" s="14"/>
      <c r="D26" s="14"/>
      <c r="E26" s="14"/>
      <c r="F26" s="15"/>
      <c r="G26" s="15"/>
      <c r="H26" s="15"/>
      <c r="I26" s="15"/>
      <c r="J26" s="12"/>
      <c r="K26" s="12"/>
      <c r="L26" s="12"/>
      <c r="M26" s="12"/>
      <c r="N26" s="12"/>
      <c r="O26" s="12"/>
      <c r="P26" s="12"/>
      <c r="Q26" s="12"/>
      <c r="R26" s="12"/>
      <c r="S26" s="12"/>
    </row>
    <row r="27" spans="1:21" x14ac:dyDescent="0.25">
      <c r="C27" s="14"/>
      <c r="D27" s="14"/>
      <c r="E27" s="14"/>
      <c r="F27" s="15"/>
      <c r="G27" s="15"/>
      <c r="H27" s="15"/>
      <c r="I27" s="15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21" x14ac:dyDescent="0.25">
      <c r="C28" s="14"/>
      <c r="D28" s="14"/>
      <c r="E28" s="14"/>
      <c r="F28" s="15"/>
      <c r="G28" s="15"/>
      <c r="H28" s="15"/>
      <c r="I28" s="15"/>
      <c r="J28" s="12"/>
      <c r="K28" s="12"/>
      <c r="L28" s="12"/>
      <c r="M28" s="12"/>
      <c r="N28" s="12"/>
      <c r="O28" s="12"/>
      <c r="P28" s="12"/>
      <c r="Q28" s="12"/>
      <c r="R28" s="12"/>
      <c r="S28" s="12"/>
    </row>
    <row r="29" spans="1:21" x14ac:dyDescent="0.25">
      <c r="C29" s="14"/>
      <c r="D29" s="14"/>
      <c r="E29" s="14"/>
      <c r="F29" s="15"/>
      <c r="G29" s="15"/>
      <c r="H29" s="15"/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21" x14ac:dyDescent="0.25">
      <c r="C30" s="14"/>
      <c r="D30" s="14"/>
      <c r="E30" s="14"/>
      <c r="F30" s="15"/>
      <c r="G30" s="15"/>
      <c r="H30" s="15"/>
      <c r="I30" s="15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21" x14ac:dyDescent="0.25">
      <c r="C31" s="14"/>
      <c r="D31" s="14"/>
      <c r="E31" s="14"/>
      <c r="F31" s="15"/>
      <c r="G31" s="15"/>
      <c r="H31" s="15"/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21" x14ac:dyDescent="0.25">
      <c r="C32" s="14"/>
      <c r="D32" s="14"/>
      <c r="E32" s="14"/>
      <c r="F32" s="15"/>
      <c r="G32" s="15"/>
      <c r="H32" s="15"/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3:23" x14ac:dyDescent="0.25">
      <c r="C33" s="14"/>
      <c r="D33" s="14"/>
      <c r="E33" s="14"/>
      <c r="F33" s="15"/>
      <c r="G33" s="15"/>
      <c r="H33" s="15"/>
      <c r="I33" s="15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3:23" x14ac:dyDescent="0.25">
      <c r="C34" s="14"/>
      <c r="D34" s="14"/>
      <c r="E34" s="14"/>
      <c r="F34" s="15"/>
      <c r="G34" s="15"/>
      <c r="H34" s="15"/>
      <c r="I34" s="15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3:23" x14ac:dyDescent="0.25">
      <c r="C35" s="14"/>
      <c r="D35" s="14"/>
      <c r="E35" s="14"/>
      <c r="F35" s="15"/>
      <c r="G35" s="15"/>
      <c r="H35" s="15"/>
      <c r="I35" s="15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3:23" x14ac:dyDescent="0.25">
      <c r="C36" s="14"/>
      <c r="D36" s="14"/>
      <c r="E36" s="14"/>
      <c r="F36" s="15"/>
      <c r="G36" s="15"/>
      <c r="H36" s="15"/>
      <c r="I36" s="15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3:23" x14ac:dyDescent="0.25">
      <c r="C37" s="14"/>
      <c r="D37" s="14"/>
      <c r="E37" s="14"/>
      <c r="F37" s="15"/>
      <c r="G37" s="15"/>
      <c r="H37" s="15"/>
      <c r="I37" s="15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3:23" x14ac:dyDescent="0.25">
      <c r="C38" s="14"/>
      <c r="D38" s="14"/>
      <c r="E38" s="14"/>
      <c r="F38" s="15"/>
      <c r="G38" s="15"/>
      <c r="H38" s="15"/>
      <c r="I38" s="15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3:23" x14ac:dyDescent="0.25">
      <c r="C39" s="14"/>
      <c r="D39" s="14"/>
      <c r="E39" s="14"/>
      <c r="F39" s="15"/>
      <c r="G39" s="15"/>
      <c r="H39" s="15"/>
      <c r="I39" s="15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3:23" x14ac:dyDescent="0.25">
      <c r="C40" s="14"/>
      <c r="D40" s="14"/>
      <c r="E40" s="14"/>
      <c r="F40" s="15"/>
      <c r="G40" s="15"/>
      <c r="H40" s="15"/>
      <c r="I40" s="15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3:23" x14ac:dyDescent="0.25">
      <c r="C41" s="14"/>
      <c r="D41" s="14"/>
      <c r="E41" s="14"/>
      <c r="F41" s="15"/>
      <c r="G41" s="15"/>
      <c r="H41" s="15"/>
      <c r="I41" s="15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2" spans="3:23" x14ac:dyDescent="0.25">
      <c r="C42" s="14"/>
      <c r="D42" s="14"/>
      <c r="E42" s="14"/>
      <c r="F42" s="15"/>
      <c r="G42" s="15"/>
      <c r="H42" s="15"/>
      <c r="I42" s="15"/>
      <c r="J42" s="12"/>
      <c r="K42" s="12"/>
      <c r="L42" s="12"/>
      <c r="M42" s="12"/>
      <c r="N42" s="12"/>
      <c r="O42" s="12"/>
      <c r="P42" s="12"/>
      <c r="Q42" s="12"/>
      <c r="R42" s="12"/>
      <c r="S42" s="12"/>
    </row>
    <row r="43" spans="3:23" x14ac:dyDescent="0.25">
      <c r="C43" s="14"/>
      <c r="D43" s="14"/>
      <c r="E43" s="14"/>
      <c r="F43" s="15"/>
      <c r="G43" s="15"/>
      <c r="H43" s="15"/>
      <c r="I43" s="15"/>
      <c r="J43" s="12"/>
      <c r="K43" s="12"/>
      <c r="L43" s="12"/>
      <c r="M43" s="12"/>
      <c r="N43" s="12"/>
      <c r="O43" s="12"/>
      <c r="P43" s="12"/>
      <c r="Q43" s="12"/>
      <c r="R43" s="12"/>
      <c r="S43" s="12"/>
    </row>
    <row r="44" spans="3:23" x14ac:dyDescent="0.25">
      <c r="C44" s="14"/>
      <c r="D44" s="14"/>
      <c r="E44" s="14"/>
      <c r="F44" s="15"/>
      <c r="G44" s="15"/>
      <c r="H44" s="15"/>
      <c r="I44" s="15"/>
      <c r="J44" s="12"/>
      <c r="K44" s="12"/>
      <c r="L44" s="12"/>
      <c r="M44" s="12"/>
      <c r="N44" s="12"/>
      <c r="O44" s="12"/>
      <c r="P44" s="12"/>
      <c r="Q44" s="12"/>
      <c r="R44" s="12"/>
      <c r="S44" s="12"/>
    </row>
    <row r="45" spans="3:23" x14ac:dyDescent="0.25">
      <c r="C45" s="14"/>
      <c r="D45" s="14"/>
      <c r="E45" s="14"/>
      <c r="F45" s="15"/>
      <c r="G45" s="15"/>
      <c r="H45" s="15"/>
      <c r="I45" s="15"/>
      <c r="J45" s="12"/>
      <c r="K45" s="12"/>
      <c r="L45" s="12"/>
      <c r="M45" s="12"/>
      <c r="N45" s="12"/>
      <c r="O45" s="12"/>
      <c r="P45" s="12"/>
      <c r="Q45" s="12"/>
      <c r="R45" s="12"/>
      <c r="S45" s="12"/>
    </row>
    <row r="46" spans="3:23" x14ac:dyDescent="0.25">
      <c r="C46" s="14"/>
      <c r="D46" s="14"/>
      <c r="E46" s="14"/>
      <c r="F46" s="15"/>
      <c r="G46" s="15"/>
      <c r="H46" s="15"/>
      <c r="I46" s="15"/>
      <c r="J46" s="12"/>
      <c r="K46" s="12"/>
      <c r="L46" s="12"/>
      <c r="M46" s="12"/>
      <c r="N46" s="12"/>
      <c r="O46" s="12"/>
      <c r="P46" s="12"/>
      <c r="Q46" s="12"/>
      <c r="R46" s="12"/>
      <c r="S46" s="12"/>
    </row>
    <row r="47" spans="3:23" x14ac:dyDescent="0.25">
      <c r="C47" s="14"/>
      <c r="D47" s="14"/>
      <c r="E47" s="14"/>
      <c r="F47" s="15"/>
      <c r="G47" s="15"/>
      <c r="H47" s="15"/>
      <c r="I47" s="15"/>
      <c r="J47" s="12"/>
      <c r="K47" s="12"/>
      <c r="L47" s="12"/>
      <c r="M47" s="12"/>
      <c r="N47" s="12"/>
      <c r="O47" s="12"/>
      <c r="P47" s="12"/>
      <c r="Q47" s="12"/>
      <c r="R47" s="12"/>
      <c r="S47" s="12"/>
    </row>
    <row r="48" spans="3:23" x14ac:dyDescent="0.25">
      <c r="E48" s="14"/>
      <c r="F48" s="14"/>
      <c r="G48" s="14"/>
      <c r="H48" s="15"/>
      <c r="I48" s="15"/>
      <c r="J48" s="15"/>
      <c r="K48" s="15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</row>
    <row r="49" spans="5:23" x14ac:dyDescent="0.25">
      <c r="E49" s="14"/>
      <c r="F49" s="14"/>
      <c r="G49" s="14"/>
      <c r="H49" s="15"/>
      <c r="I49" s="15"/>
      <c r="J49" s="15"/>
      <c r="K49" s="15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</row>
    <row r="50" spans="5:23" x14ac:dyDescent="0.25">
      <c r="E50" s="14"/>
      <c r="F50" s="14"/>
      <c r="G50" s="14"/>
      <c r="H50" s="15"/>
      <c r="I50" s="15"/>
      <c r="J50" s="15"/>
      <c r="K50" s="15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Foglio1</vt:lpstr>
      <vt:lpstr>R-LP</vt:lpstr>
      <vt:lpstr>D-LP</vt:lpstr>
      <vt:lpstr>D-LP_real</vt:lpstr>
      <vt:lpstr>R-LP_real</vt:lpstr>
      <vt:lpstr>R-LP_real (2)</vt:lpstr>
      <vt:lpstr>D-LP_real (2)</vt:lpstr>
      <vt:lpstr>R-LP_real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Davide Carecci</cp:lastModifiedBy>
  <dcterms:created xsi:type="dcterms:W3CDTF">2015-06-05T18:19:34Z</dcterms:created>
  <dcterms:modified xsi:type="dcterms:W3CDTF">2025-10-21T14:23:13Z</dcterms:modified>
</cp:coreProperties>
</file>