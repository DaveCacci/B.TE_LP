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3.xml" ContentType="application/vnd.openxmlformats-officedocument.spreadsheetml.pivot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polimi365-my.sharepoint.com/personal/10530006_polimi_it/Documents/Work_cloud/DOTTORATO/Robust Optimization/Project/"/>
    </mc:Choice>
  </mc:AlternateContent>
  <xr:revisionPtr revIDLastSave="1204" documentId="11_AD4D5CB4E552A5DACE1C649328D876EA5ADEDD82" xr6:coauthVersionLast="47" xr6:coauthVersionMax="47" xr10:uidLastSave="{FDBABF3E-368C-4097-85F1-9DA38478D6B8}"/>
  <bookViews>
    <workbookView xWindow="-120" yWindow="-120" windowWidth="29040" windowHeight="15720" activeTab="2" xr2:uid="{00000000-000D-0000-FFFF-FFFF00000000}"/>
  </bookViews>
  <sheets>
    <sheet name="Availability" sheetId="3" r:id="rId1"/>
    <sheet name="BMP" sheetId="8" r:id="rId2"/>
    <sheet name="Cp" sheetId="9" r:id="rId3"/>
    <sheet name="Cpraw" sheetId="4" r:id="rId4"/>
    <sheet name="BMPraw" sheetId="7" r:id="rId5"/>
    <sheet name="Ct" sheetId="2" r:id="rId6"/>
  </sheets>
  <definedNames>
    <definedName name="_xlnm._FilterDatabase" localSheetId="0" hidden="1">Availability!$H$26:$O$36</definedName>
  </definedNames>
  <calcPr calcId="191029"/>
  <pivotCaches>
    <pivotCache cacheId="0" r:id="rId7"/>
    <pivotCache cacheId="1" r:id="rId8"/>
    <pivotCache cacheId="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3" i="9" l="1"/>
  <c r="T13" i="9"/>
  <c r="Q74" i="9"/>
  <c r="D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C5" i="2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4" i="2"/>
  <c r="A50" i="2"/>
  <c r="A51" i="2" s="1"/>
  <c r="A52" i="2" s="1"/>
  <c r="A38" i="2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27" i="2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4" i="2"/>
  <c r="S14" i="9" l="1"/>
  <c r="V8" i="9" l="1"/>
  <c r="W8" i="9"/>
  <c r="V9" i="9"/>
  <c r="W9" i="9"/>
  <c r="V10" i="9"/>
  <c r="W10" i="9"/>
  <c r="V11" i="9"/>
  <c r="W11" i="9"/>
  <c r="V12" i="9"/>
  <c r="W12" i="9"/>
  <c r="V13" i="9"/>
  <c r="W13" i="9"/>
  <c r="V14" i="9"/>
  <c r="W14" i="9"/>
  <c r="V15" i="9"/>
  <c r="W15" i="9"/>
  <c r="V16" i="9"/>
  <c r="W16" i="9"/>
  <c r="W7" i="9"/>
  <c r="V7" i="9"/>
  <c r="T16" i="9"/>
  <c r="U16" i="9"/>
  <c r="T11" i="9"/>
  <c r="U11" i="9"/>
  <c r="S16" i="9"/>
  <c r="S11" i="9"/>
  <c r="P75" i="9"/>
  <c r="O75" i="9"/>
  <c r="P63" i="9"/>
  <c r="O63" i="9"/>
  <c r="P51" i="9"/>
  <c r="O51" i="9"/>
  <c r="P39" i="9"/>
  <c r="O39" i="9"/>
  <c r="P27" i="9"/>
  <c r="O27" i="9"/>
  <c r="P15" i="9"/>
  <c r="O15" i="9"/>
  <c r="P3" i="9"/>
  <c r="O3" i="9"/>
  <c r="M85" i="9"/>
  <c r="L85" i="9"/>
  <c r="K85" i="9"/>
  <c r="M84" i="9"/>
  <c r="L84" i="9"/>
  <c r="K84" i="9"/>
  <c r="M83" i="9"/>
  <c r="L83" i="9"/>
  <c r="K83" i="9"/>
  <c r="M82" i="9"/>
  <c r="L82" i="9"/>
  <c r="K82" i="9"/>
  <c r="M81" i="9"/>
  <c r="L81" i="9"/>
  <c r="K81" i="9"/>
  <c r="M80" i="9"/>
  <c r="L80" i="9"/>
  <c r="K80" i="9"/>
  <c r="M79" i="9"/>
  <c r="L79" i="9"/>
  <c r="K79" i="9"/>
  <c r="M78" i="9"/>
  <c r="L78" i="9"/>
  <c r="K78" i="9"/>
  <c r="M77" i="9"/>
  <c r="L77" i="9"/>
  <c r="K77" i="9"/>
  <c r="M76" i="9"/>
  <c r="L76" i="9"/>
  <c r="K76" i="9"/>
  <c r="M75" i="9"/>
  <c r="L75" i="9"/>
  <c r="K75" i="9"/>
  <c r="P74" i="9"/>
  <c r="O74" i="9"/>
  <c r="N74" i="9"/>
  <c r="M74" i="9"/>
  <c r="L74" i="9"/>
  <c r="K74" i="9"/>
  <c r="M73" i="9"/>
  <c r="L73" i="9"/>
  <c r="K73" i="9"/>
  <c r="M72" i="9"/>
  <c r="L72" i="9"/>
  <c r="K72" i="9"/>
  <c r="M71" i="9"/>
  <c r="L71" i="9"/>
  <c r="K71" i="9"/>
  <c r="M70" i="9"/>
  <c r="L70" i="9"/>
  <c r="K70" i="9"/>
  <c r="M69" i="9"/>
  <c r="L69" i="9"/>
  <c r="K69" i="9"/>
  <c r="M68" i="9"/>
  <c r="L68" i="9"/>
  <c r="K68" i="9"/>
  <c r="M67" i="9"/>
  <c r="L67" i="9"/>
  <c r="K67" i="9"/>
  <c r="M66" i="9"/>
  <c r="L66" i="9"/>
  <c r="K66" i="9"/>
  <c r="M65" i="9"/>
  <c r="L65" i="9"/>
  <c r="K65" i="9"/>
  <c r="M64" i="9"/>
  <c r="L64" i="9"/>
  <c r="K64" i="9"/>
  <c r="M63" i="9"/>
  <c r="L63" i="9"/>
  <c r="K63" i="9"/>
  <c r="P62" i="9"/>
  <c r="O62" i="9"/>
  <c r="N62" i="9"/>
  <c r="M62" i="9"/>
  <c r="L62" i="9"/>
  <c r="K62" i="9"/>
  <c r="M61" i="9"/>
  <c r="L61" i="9"/>
  <c r="K61" i="9"/>
  <c r="M60" i="9"/>
  <c r="L60" i="9"/>
  <c r="K60" i="9"/>
  <c r="M59" i="9"/>
  <c r="L59" i="9"/>
  <c r="K59" i="9"/>
  <c r="M58" i="9"/>
  <c r="L58" i="9"/>
  <c r="K58" i="9"/>
  <c r="M57" i="9"/>
  <c r="L57" i="9"/>
  <c r="K57" i="9"/>
  <c r="M56" i="9"/>
  <c r="L56" i="9"/>
  <c r="K56" i="9"/>
  <c r="M55" i="9"/>
  <c r="L55" i="9"/>
  <c r="K55" i="9"/>
  <c r="M54" i="9"/>
  <c r="L54" i="9"/>
  <c r="K54" i="9"/>
  <c r="M53" i="9"/>
  <c r="L53" i="9"/>
  <c r="K53" i="9"/>
  <c r="M52" i="9"/>
  <c r="L52" i="9"/>
  <c r="K52" i="9"/>
  <c r="M51" i="9"/>
  <c r="L51" i="9"/>
  <c r="K51" i="9"/>
  <c r="P50" i="9"/>
  <c r="O50" i="9"/>
  <c r="N50" i="9"/>
  <c r="M50" i="9"/>
  <c r="L50" i="9"/>
  <c r="K50" i="9"/>
  <c r="M49" i="9"/>
  <c r="L49" i="9"/>
  <c r="K49" i="9"/>
  <c r="M48" i="9"/>
  <c r="L48" i="9"/>
  <c r="K48" i="9"/>
  <c r="M47" i="9"/>
  <c r="L47" i="9"/>
  <c r="K47" i="9"/>
  <c r="M46" i="9"/>
  <c r="L46" i="9"/>
  <c r="K46" i="9"/>
  <c r="M45" i="9"/>
  <c r="L45" i="9"/>
  <c r="K45" i="9"/>
  <c r="M44" i="9"/>
  <c r="L44" i="9"/>
  <c r="K44" i="9"/>
  <c r="M43" i="9"/>
  <c r="L43" i="9"/>
  <c r="K43" i="9"/>
  <c r="M42" i="9"/>
  <c r="L42" i="9"/>
  <c r="K42" i="9"/>
  <c r="M41" i="9"/>
  <c r="L41" i="9"/>
  <c r="K41" i="9"/>
  <c r="M40" i="9"/>
  <c r="L40" i="9"/>
  <c r="K40" i="9"/>
  <c r="M39" i="9"/>
  <c r="L39" i="9"/>
  <c r="K39" i="9"/>
  <c r="P38" i="9"/>
  <c r="O38" i="9"/>
  <c r="N38" i="9"/>
  <c r="M38" i="9"/>
  <c r="L38" i="9"/>
  <c r="K38" i="9"/>
  <c r="M37" i="9"/>
  <c r="L37" i="9"/>
  <c r="K37" i="9"/>
  <c r="M36" i="9"/>
  <c r="L36" i="9"/>
  <c r="K36" i="9"/>
  <c r="M35" i="9"/>
  <c r="L35" i="9"/>
  <c r="K35" i="9"/>
  <c r="M34" i="9"/>
  <c r="L34" i="9"/>
  <c r="K34" i="9"/>
  <c r="M33" i="9"/>
  <c r="L33" i="9"/>
  <c r="K33" i="9"/>
  <c r="M32" i="9"/>
  <c r="L32" i="9"/>
  <c r="K32" i="9"/>
  <c r="M31" i="9"/>
  <c r="L31" i="9"/>
  <c r="K31" i="9"/>
  <c r="M30" i="9"/>
  <c r="L30" i="9"/>
  <c r="K30" i="9"/>
  <c r="M29" i="9"/>
  <c r="L29" i="9"/>
  <c r="K29" i="9"/>
  <c r="M28" i="9"/>
  <c r="L28" i="9"/>
  <c r="K28" i="9"/>
  <c r="M27" i="9"/>
  <c r="L27" i="9"/>
  <c r="K27" i="9"/>
  <c r="P26" i="9"/>
  <c r="O26" i="9"/>
  <c r="N26" i="9"/>
  <c r="M26" i="9"/>
  <c r="L26" i="9"/>
  <c r="K26" i="9"/>
  <c r="M25" i="9"/>
  <c r="L25" i="9"/>
  <c r="K25" i="9"/>
  <c r="M24" i="9"/>
  <c r="L24" i="9"/>
  <c r="K24" i="9"/>
  <c r="M23" i="9"/>
  <c r="L23" i="9"/>
  <c r="K23" i="9"/>
  <c r="M22" i="9"/>
  <c r="L22" i="9"/>
  <c r="K22" i="9"/>
  <c r="M21" i="9"/>
  <c r="L21" i="9"/>
  <c r="K21" i="9"/>
  <c r="M20" i="9"/>
  <c r="L20" i="9"/>
  <c r="K20" i="9"/>
  <c r="M19" i="9"/>
  <c r="L19" i="9"/>
  <c r="K19" i="9"/>
  <c r="M18" i="9"/>
  <c r="L18" i="9"/>
  <c r="K18" i="9"/>
  <c r="M17" i="9"/>
  <c r="L17" i="9"/>
  <c r="K17" i="9"/>
  <c r="M16" i="9"/>
  <c r="L16" i="9"/>
  <c r="K16" i="9"/>
  <c r="M15" i="9"/>
  <c r="L15" i="9"/>
  <c r="K15" i="9"/>
  <c r="P14" i="9"/>
  <c r="O14" i="9"/>
  <c r="N14" i="9"/>
  <c r="M14" i="9"/>
  <c r="L14" i="9"/>
  <c r="K14" i="9"/>
  <c r="M13" i="9"/>
  <c r="L13" i="9"/>
  <c r="K13" i="9"/>
  <c r="M12" i="9"/>
  <c r="L12" i="9"/>
  <c r="K12" i="9"/>
  <c r="M11" i="9"/>
  <c r="L11" i="9"/>
  <c r="K11" i="9"/>
  <c r="M10" i="9"/>
  <c r="L10" i="9"/>
  <c r="K10" i="9"/>
  <c r="M9" i="9"/>
  <c r="L9" i="9"/>
  <c r="K9" i="9"/>
  <c r="M8" i="9"/>
  <c r="L8" i="9"/>
  <c r="K8" i="9"/>
  <c r="M7" i="9"/>
  <c r="L7" i="9"/>
  <c r="K7" i="9"/>
  <c r="M6" i="9"/>
  <c r="L6" i="9"/>
  <c r="K6" i="9"/>
  <c r="M5" i="9"/>
  <c r="L5" i="9"/>
  <c r="K5" i="9"/>
  <c r="M4" i="9"/>
  <c r="L4" i="9"/>
  <c r="K4" i="9"/>
  <c r="M3" i="9"/>
  <c r="L3" i="9"/>
  <c r="K3" i="9"/>
  <c r="P2" i="9"/>
  <c r="O2" i="9"/>
  <c r="N2" i="9"/>
  <c r="M2" i="9"/>
  <c r="L2" i="9"/>
  <c r="K2" i="9"/>
  <c r="BX4" i="7"/>
  <c r="BX5" i="7"/>
  <c r="BX3" i="7"/>
  <c r="BW5" i="7" l="1"/>
  <c r="BW4" i="7"/>
  <c r="BW3" i="7"/>
  <c r="K35" i="3" l="1"/>
  <c r="J35" i="3"/>
  <c r="I35" i="3"/>
  <c r="D30" i="8" l="1"/>
  <c r="D29" i="8"/>
  <c r="D28" i="8"/>
  <c r="D27" i="8"/>
  <c r="P14" i="4" l="1"/>
  <c r="P26" i="4"/>
  <c r="P38" i="4"/>
  <c r="P50" i="4"/>
  <c r="P62" i="4"/>
  <c r="P74" i="4"/>
  <c r="P86" i="4"/>
  <c r="P2" i="4"/>
  <c r="O14" i="4"/>
  <c r="O26" i="4"/>
  <c r="O38" i="4"/>
  <c r="O50" i="4"/>
  <c r="O62" i="4"/>
  <c r="O74" i="4"/>
  <c r="O86" i="4"/>
  <c r="O2" i="4"/>
  <c r="N2" i="4"/>
  <c r="N14" i="4"/>
  <c r="N26" i="4"/>
  <c r="N38" i="4"/>
  <c r="N50" i="4"/>
  <c r="N62" i="4"/>
  <c r="N74" i="4"/>
  <c r="N86" i="4"/>
  <c r="M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D4" i="2" l="1"/>
  <c r="D5" i="2"/>
  <c r="D6" i="2"/>
  <c r="D7" i="2"/>
  <c r="D8" i="2"/>
  <c r="D9" i="2"/>
  <c r="D10" i="2"/>
  <c r="D11" i="2"/>
  <c r="D12" i="2"/>
  <c r="D13" i="2"/>
</calcChain>
</file>

<file path=xl/sharedStrings.xml><?xml version="1.0" encoding="utf-8"?>
<sst xmlns="http://schemas.openxmlformats.org/spreadsheetml/2006/main" count="1108" uniqueCount="218">
  <si>
    <t>Paste saponose</t>
  </si>
  <si>
    <t>Silomais</t>
  </si>
  <si>
    <t>Sorgo granella insilato</t>
  </si>
  <si>
    <t>Liquame bovino</t>
  </si>
  <si>
    <t>Letame bovino</t>
  </si>
  <si>
    <t>Sottoprodotto lavorazione paste ripiene</t>
  </si>
  <si>
    <t>Cp</t>
  </si>
  <si>
    <t>€/tonFM</t>
  </si>
  <si>
    <t>d</t>
  </si>
  <si>
    <t>fixed tariff</t>
  </si>
  <si>
    <t>distance tariff</t>
  </si>
  <si>
    <t>specific tariff (20ton)</t>
  </si>
  <si>
    <t>km</t>
  </si>
  <si>
    <r>
      <rPr>
        <sz val="11"/>
        <color theme="1"/>
        <rFont val="Aptos Narrow"/>
        <family val="2"/>
      </rPr>
      <t>€</t>
    </r>
    <r>
      <rPr>
        <sz val="11"/>
        <color theme="1"/>
        <rFont val="Calibri"/>
        <family val="2"/>
      </rPr>
      <t>/km/tonFM</t>
    </r>
  </si>
  <si>
    <t>€</t>
  </si>
  <si>
    <t>Cow slurry</t>
  </si>
  <si>
    <t>mais</t>
  </si>
  <si>
    <t>frumento tenero</t>
  </si>
  <si>
    <t>soia</t>
  </si>
  <si>
    <t>frumento duro</t>
  </si>
  <si>
    <t>orzo</t>
  </si>
  <si>
    <t>pomodoro da industria in piena aria</t>
  </si>
  <si>
    <t>girasole</t>
  </si>
  <si>
    <t>sorgo</t>
  </si>
  <si>
    <t>barbabietola da zucchero</t>
  </si>
  <si>
    <t>segale</t>
  </si>
  <si>
    <t>cocomero in piena aria</t>
  </si>
  <si>
    <t>popone o melone in piena aria</t>
  </si>
  <si>
    <t>zucchina in piena aria</t>
  </si>
  <si>
    <t>kiwi</t>
  </si>
  <si>
    <t>Mais</t>
  </si>
  <si>
    <t>Frumento</t>
  </si>
  <si>
    <t>Soia</t>
  </si>
  <si>
    <t>Orzo</t>
  </si>
  <si>
    <t>Pomodoro</t>
  </si>
  <si>
    <t>Girasole</t>
  </si>
  <si>
    <t>Sorgo</t>
  </si>
  <si>
    <t>Barbabietola Zucchero</t>
  </si>
  <si>
    <t>Segale</t>
  </si>
  <si>
    <t>Cocomero</t>
  </si>
  <si>
    <t>Melone</t>
  </si>
  <si>
    <t>Zucchine</t>
  </si>
  <si>
    <t>Kiwi</t>
  </si>
  <si>
    <t>Stocco insilato</t>
  </si>
  <si>
    <t>Paglia</t>
  </si>
  <si>
    <t>Scarti vegetali generici</t>
  </si>
  <si>
    <t>Buccette</t>
  </si>
  <si>
    <t>Polpe secche di barbabietola</t>
  </si>
  <si>
    <t>Prodotto imperfetto</t>
  </si>
  <si>
    <t>Ramaglie</t>
  </si>
  <si>
    <t>Tipo di coltivazione</t>
  </si>
  <si>
    <t>Anno</t>
  </si>
  <si>
    <t>Cluster</t>
  </si>
  <si>
    <t>Scarti stimati in tonnellate</t>
  </si>
  <si>
    <t>Sottoprodotti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</si>
  <si>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</si>
  <si>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</si>
  <si>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</si>
  <si>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</si>
  <si>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</si>
  <si>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</si>
  <si>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</si>
  <si>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</si>
  <si>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</si>
  <si>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</si>
  <si>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</si>
  <si>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</si>
  <si>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Frumento tenero panificabile superiore</t>
  </si>
  <si>
    <t>Orzo Comunitario</t>
  </si>
  <si>
    <t>Crusca di frumento tenero</t>
  </si>
  <si>
    <t>Farina Glutinata</t>
  </si>
  <si>
    <t>Melasso di barbabietola</t>
  </si>
  <si>
    <t>Polpe essiccate</t>
  </si>
  <si>
    <t>Trinciato di mais (Piante in piedi)</t>
  </si>
  <si>
    <t>Cow dung</t>
  </si>
  <si>
    <t>Pig slurry</t>
  </si>
  <si>
    <t>Pig dung</t>
  </si>
  <si>
    <t>Chicken dung</t>
  </si>
  <si>
    <t>Etichette di riga</t>
  </si>
  <si>
    <t>Totale complessivo</t>
  </si>
  <si>
    <t>Media di Scarti stimati in tonnellate2</t>
  </si>
  <si>
    <t>Liquami</t>
  </si>
  <si>
    <t>Letami</t>
  </si>
  <si>
    <t>Max di Scarti stimati in tonnellate3</t>
  </si>
  <si>
    <t>Min di Scarti stimati in tonnellate4</t>
  </si>
  <si>
    <t>Mese</t>
  </si>
  <si>
    <t>2009</t>
  </si>
  <si>
    <t>2014</t>
  </si>
  <si>
    <t>2019</t>
  </si>
  <si>
    <t>2020</t>
  </si>
  <si>
    <t>2021</t>
  </si>
  <si>
    <t>2022</t>
  </si>
  <si>
    <t>2023</t>
  </si>
  <si>
    <t>Mean</t>
  </si>
  <si>
    <t>Max</t>
  </si>
  <si>
    <t>Min</t>
  </si>
  <si>
    <t>Mean year</t>
  </si>
  <si>
    <t>Max year</t>
  </si>
  <si>
    <t>Min year</t>
  </si>
  <si>
    <t>CMA</t>
  </si>
  <si>
    <t>CRPA</t>
  </si>
  <si>
    <t>Silomais 1° raccolto</t>
  </si>
  <si>
    <t>Silomais 2° raccolto</t>
  </si>
  <si>
    <t>Loiessa insilato</t>
  </si>
  <si>
    <t>Loiessa fieno</t>
  </si>
  <si>
    <t>Erba medica</t>
  </si>
  <si>
    <t>TS</t>
  </si>
  <si>
    <t>kgTS/tonFM</t>
  </si>
  <si>
    <t>desc_campione</t>
  </si>
  <si>
    <t>ST (gST/Kg)</t>
  </si>
  <si>
    <t>SV(gSV/Kg)</t>
  </si>
  <si>
    <t>BMPfinale</t>
  </si>
  <si>
    <t>sorgo insilato</t>
  </si>
  <si>
    <t>Sfibrato di mais</t>
  </si>
  <si>
    <t>insilato di mais</t>
  </si>
  <si>
    <t>Insilato di mais</t>
  </si>
  <si>
    <t>trinciato di sorgo da foraggio</t>
  </si>
  <si>
    <t>buccette di pomodoro insilate</t>
  </si>
  <si>
    <t>stocchi di mais tq</t>
  </si>
  <si>
    <t>Mais - Farina</t>
  </si>
  <si>
    <t>Mais - farina glutinata umida</t>
  </si>
  <si>
    <t>Mais - granella spezzata</t>
  </si>
  <si>
    <t>Mais - Pastone integrale</t>
  </si>
  <si>
    <t>Mais - Pastone integrale insilato</t>
  </si>
  <si>
    <t>Mais - Tutoli secchi</t>
  </si>
  <si>
    <t>Mais - Tutoli umidi</t>
  </si>
  <si>
    <t>Mais Insilato</t>
  </si>
  <si>
    <t>Mais insilato ceroso</t>
  </si>
  <si>
    <t>Mais insilato in maturazione lattea</t>
  </si>
  <si>
    <t>kg/t TQ</t>
  </si>
  <si>
    <t>kgN/t TQ</t>
  </si>
  <si>
    <t>farina di mais</t>
  </si>
  <si>
    <t>Frumento - Farina da foraggio</t>
  </si>
  <si>
    <t>Frumento - Farinaccio</t>
  </si>
  <si>
    <t>Orzo farina</t>
  </si>
  <si>
    <t>Riso - Farina da foraggio bianca (pula)</t>
  </si>
  <si>
    <t>Riso - Farina da foraggio gialla (pula mix lolla)</t>
  </si>
  <si>
    <t>Riso - Farinaccio</t>
  </si>
  <si>
    <t>Segale - Farina da foraggio</t>
  </si>
  <si>
    <t>Mais insilato</t>
  </si>
  <si>
    <t>Biscotti e farine</t>
  </si>
  <si>
    <t>sottoprodotto:farina di cereali</t>
  </si>
  <si>
    <t>Sorgo da fibra</t>
  </si>
  <si>
    <t>Sorgo granella Insilato</t>
  </si>
  <si>
    <t>Sorgo zucch. Insilato</t>
  </si>
  <si>
    <t>Sorgo zucch. Insilato PoliMi@CR</t>
  </si>
  <si>
    <t>Sorgo zuccherino</t>
  </si>
  <si>
    <t>Frumento - Crusca</t>
  </si>
  <si>
    <t>Frumento - Paglia</t>
  </si>
  <si>
    <t>Frumento insilato</t>
  </si>
  <si>
    <t>pomodoro liquido</t>
  </si>
  <si>
    <t>Melasso</t>
  </si>
  <si>
    <t>Triticale</t>
  </si>
  <si>
    <t>ITEM</t>
  </si>
  <si>
    <t>maize silage</t>
  </si>
  <si>
    <t>tutoli</t>
  </si>
  <si>
    <t>sorghum</t>
  </si>
  <si>
    <t>cow slurry</t>
  </si>
  <si>
    <t>chicken dung</t>
  </si>
  <si>
    <t>wheat flour</t>
  </si>
  <si>
    <t>wheat silage</t>
  </si>
  <si>
    <t>rice</t>
  </si>
  <si>
    <t>barley</t>
  </si>
  <si>
    <t>maize flour</t>
  </si>
  <si>
    <t>Sorgosilo</t>
  </si>
  <si>
    <t>tomato peels</t>
  </si>
  <si>
    <t>triticale silage</t>
  </si>
  <si>
    <t>name</t>
  </si>
  <si>
    <t>Maize silage</t>
  </si>
  <si>
    <t>Tomato peels</t>
  </si>
  <si>
    <t>Barley silage</t>
  </si>
  <si>
    <t>Triticale silage</t>
  </si>
  <si>
    <t>Sorghum silage</t>
  </si>
  <si>
    <t>Category</t>
  </si>
  <si>
    <t>R</t>
  </si>
  <si>
    <t>P</t>
  </si>
  <si>
    <t>B</t>
  </si>
  <si>
    <t>1B TABLE</t>
  </si>
  <si>
    <t>1A TABLE</t>
  </si>
  <si>
    <t>Wheat byproducts</t>
  </si>
  <si>
    <t>II harvest</t>
  </si>
  <si>
    <t>wheat byproduct</t>
  </si>
  <si>
    <t>sorghum silage</t>
  </si>
  <si>
    <t>Media di ST (gST/Kg)</t>
  </si>
  <si>
    <t>Min di ST (gST/Kg)</t>
  </si>
  <si>
    <t>Max di ST (gST/Kg)</t>
  </si>
  <si>
    <t>Media di SV(gSV/Kg)</t>
  </si>
  <si>
    <t>Max di SV(gSV/Kg)</t>
  </si>
  <si>
    <t>Min di SV(gSV/Kg)</t>
  </si>
  <si>
    <t>Media di BMPfinale</t>
  </si>
  <si>
    <t>Max di BMPfinale</t>
  </si>
  <si>
    <t>Min di BMPfinale</t>
  </si>
  <si>
    <t>Media di kgN/t TQ</t>
  </si>
  <si>
    <t>Orzo insilato</t>
  </si>
  <si>
    <t>Orzo verde - Spiga</t>
  </si>
  <si>
    <t>barley silage</t>
  </si>
  <si>
    <t>TS Mean</t>
  </si>
  <si>
    <t>TS Min</t>
  </si>
  <si>
    <t>TS Max</t>
  </si>
  <si>
    <t>VS Mean</t>
  </si>
  <si>
    <t>VS Min</t>
  </si>
  <si>
    <t>VS Max</t>
  </si>
  <si>
    <t>TKN</t>
  </si>
  <si>
    <t>BMP Mean</t>
  </si>
  <si>
    <t>BMP Min</t>
  </si>
  <si>
    <t>BMP Max</t>
  </si>
  <si>
    <t>Somma di Mean year</t>
  </si>
  <si>
    <t>Somma di Max year</t>
  </si>
  <si>
    <t>Somma di Min year</t>
  </si>
  <si>
    <t>I keep sorgo silage with the same ratio wrt maize silage (CMA values)</t>
  </si>
  <si>
    <t>It's stalk, but actually I'm considering crusca/flour</t>
  </si>
  <si>
    <t>hp wheat byproducts are farinetta, farinaccio, crusca. Take prices of crusca only…the range is always 100-200 eur/ton</t>
  </si>
  <si>
    <t>Max/Mean</t>
  </si>
  <si>
    <t>Min/Mean</t>
  </si>
  <si>
    <t>I keep max/mean and min/mean ratios of market values</t>
  </si>
  <si>
    <t>For items unrelable to market, I take min and max values found. Assume  triangular. Mean is choosen to be inversely proportional to BMP</t>
  </si>
  <si>
    <t>Assume symmetric triangular for 'tomato peels'. Min taken as 1% tomato price, max as 'maize silage' cost.</t>
  </si>
  <si>
    <t>Dev. standard di BMPfinale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</si>
</sst>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\ _€_-;\-* #,##0.0\ _€_-;_-* &quot;-&quot;?\ _€_-;_-@_-"/>
    <numFmt numFmtId="165" formatCode="0.0"/>
    <numFmt numFmtId="166" formatCode="0.0%"/>
    <numFmt numFmtId="167" formatCode="_-* #,##0.0_-;\-* #,##0.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b/>
      <sz val="9.9"/>
      <color rgb="FF444444"/>
      <name val="Arial"/>
      <family val="2"/>
    </font>
    <font>
      <sz val="9.9"/>
      <color rgb="FF444444"/>
      <name val="Arial"/>
      <family val="2"/>
    </font>
    <font>
      <b/>
      <sz val="9.9"/>
      <color rgb="FF222222"/>
      <name val="Arial"/>
      <family val="2"/>
    </font>
    <font>
      <sz val="9.9"/>
      <color rgb="FF222222"/>
      <name val="Arial"/>
      <family val="2"/>
    </font>
    <font>
      <b/>
      <sz val="11"/>
      <color rgb="FF000000"/>
      <name val="Arial"/>
      <family val="2"/>
    </font>
    <font>
      <b/>
      <sz val="11"/>
      <color rgb="FFFFFFFF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 Narrow"/>
      <family val="2"/>
    </font>
    <font>
      <b/>
      <sz val="10"/>
      <name val="Arial Narrow"/>
      <family val="2"/>
    </font>
    <font>
      <i/>
      <sz val="10"/>
      <name val="Arial Narrow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BFBF9"/>
        <bgColor indexed="64"/>
      </patternFill>
    </fill>
    <fill>
      <patternFill patternType="solid">
        <fgColor rgb="FFEFEFE0"/>
        <bgColor indexed="64"/>
      </patternFill>
    </fill>
    <fill>
      <patternFill patternType="solid">
        <fgColor rgb="FFA1D99B"/>
        <bgColor indexed="64"/>
      </patternFill>
    </fill>
    <fill>
      <patternFill patternType="solid">
        <fgColor rgb="FFFCAE91"/>
        <bgColor indexed="64"/>
      </patternFill>
    </fill>
    <fill>
      <patternFill patternType="solid">
        <fgColor rgb="FF82AE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/>
      <right style="medium">
        <color rgb="FFFFFFFF"/>
      </right>
      <top/>
      <bottom/>
      <diagonal/>
    </border>
    <border>
      <left/>
      <right style="double">
        <color rgb="FF82AE43"/>
      </right>
      <top/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48">
    <xf numFmtId="0" fontId="0" fillId="0" borderId="0" xfId="0"/>
    <xf numFmtId="2" fontId="0" fillId="0" borderId="0" xfId="0" applyNumberFormat="1"/>
    <xf numFmtId="0" fontId="1" fillId="0" borderId="0" xfId="0" applyFont="1"/>
    <xf numFmtId="164" fontId="0" fillId="0" borderId="0" xfId="0" applyNumberFormat="1"/>
    <xf numFmtId="0" fontId="3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2" fontId="4" fillId="2" borderId="2" xfId="0" applyNumberFormat="1" applyFont="1" applyFill="1" applyBorder="1" applyAlignment="1">
      <alignment horizontal="center" vertical="center" wrapText="1"/>
    </xf>
    <xf numFmtId="2" fontId="4" fillId="2" borderId="0" xfId="0" applyNumberFormat="1" applyFont="1" applyFill="1" applyAlignment="1">
      <alignment horizontal="center" vertical="center" wrapText="1"/>
    </xf>
    <xf numFmtId="2" fontId="6" fillId="3" borderId="2" xfId="0" applyNumberFormat="1" applyFont="1" applyFill="1" applyBorder="1" applyAlignment="1">
      <alignment horizontal="center" vertical="center" wrapText="1"/>
    </xf>
    <xf numFmtId="2" fontId="6" fillId="3" borderId="0" xfId="0" applyNumberFormat="1" applyFont="1" applyFill="1" applyAlignment="1">
      <alignment horizontal="center" vertical="center" wrapText="1"/>
    </xf>
    <xf numFmtId="2" fontId="6" fillId="4" borderId="0" xfId="0" applyNumberFormat="1" applyFont="1" applyFill="1" applyAlignment="1">
      <alignment horizontal="center" vertical="center" wrapText="1"/>
    </xf>
    <xf numFmtId="2" fontId="4" fillId="5" borderId="2" xfId="0" applyNumberFormat="1" applyFont="1" applyFill="1" applyBorder="1" applyAlignment="1">
      <alignment horizontal="center" vertical="center" wrapText="1"/>
    </xf>
    <xf numFmtId="2" fontId="4" fillId="4" borderId="0" xfId="0" applyNumberFormat="1" applyFont="1" applyFill="1" applyAlignment="1">
      <alignment horizontal="center" vertical="center" wrapText="1"/>
    </xf>
    <xf numFmtId="2" fontId="6" fillId="5" borderId="2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wrapText="1"/>
    </xf>
    <xf numFmtId="165" fontId="0" fillId="0" borderId="0" xfId="0" applyNumberFormat="1"/>
    <xf numFmtId="0" fontId="12" fillId="0" borderId="5" xfId="0" applyFont="1" applyBorder="1" applyAlignment="1">
      <alignment horizontal="left" vertical="center"/>
    </xf>
    <xf numFmtId="0" fontId="13" fillId="7" borderId="5" xfId="0" applyFont="1" applyFill="1" applyBorder="1" applyAlignment="1">
      <alignment horizontal="left" vertical="center"/>
    </xf>
    <xf numFmtId="0" fontId="13" fillId="8" borderId="5" xfId="0" applyFont="1" applyFill="1" applyBorder="1" applyAlignment="1">
      <alignment horizontal="left" vertical="center"/>
    </xf>
    <xf numFmtId="166" fontId="12" fillId="9" borderId="5" xfId="0" applyNumberFormat="1" applyFont="1" applyFill="1" applyBorder="1" applyAlignment="1">
      <alignment horizontal="center" vertical="center"/>
    </xf>
    <xf numFmtId="166" fontId="13" fillId="7" borderId="5" xfId="0" applyNumberFormat="1" applyFont="1" applyFill="1" applyBorder="1" applyAlignment="1">
      <alignment horizontal="center" vertical="center"/>
    </xf>
    <xf numFmtId="166" fontId="13" fillId="8" borderId="5" xfId="0" applyNumberFormat="1" applyFont="1" applyFill="1" applyBorder="1" applyAlignment="1">
      <alignment horizontal="center" vertical="center"/>
    </xf>
    <xf numFmtId="166" fontId="12" fillId="0" borderId="5" xfId="2" applyNumberFormat="1" applyFont="1" applyFill="1" applyBorder="1" applyAlignment="1">
      <alignment horizontal="center" vertical="center"/>
    </xf>
    <xf numFmtId="166" fontId="13" fillId="7" borderId="5" xfId="2" applyNumberFormat="1" applyFont="1" applyFill="1" applyBorder="1" applyAlignment="1">
      <alignment horizontal="center" vertical="center"/>
    </xf>
    <xf numFmtId="166" fontId="13" fillId="8" borderId="5" xfId="2" applyNumberFormat="1" applyFont="1" applyFill="1" applyBorder="1" applyAlignment="1">
      <alignment horizontal="center" vertical="center"/>
    </xf>
    <xf numFmtId="2" fontId="12" fillId="0" borderId="5" xfId="0" applyNumberFormat="1" applyFont="1" applyBorder="1" applyAlignment="1">
      <alignment horizontal="center" vertical="center"/>
    </xf>
    <xf numFmtId="2" fontId="13" fillId="7" borderId="5" xfId="0" applyNumberFormat="1" applyFont="1" applyFill="1" applyBorder="1" applyAlignment="1">
      <alignment horizontal="center" vertical="center"/>
    </xf>
    <xf numFmtId="2" fontId="13" fillId="8" borderId="5" xfId="0" applyNumberFormat="1" applyFont="1" applyFill="1" applyBorder="1" applyAlignment="1">
      <alignment horizontal="center" vertical="center"/>
    </xf>
    <xf numFmtId="167" fontId="12" fillId="0" borderId="5" xfId="1" applyNumberFormat="1" applyFont="1" applyBorder="1" applyAlignment="1">
      <alignment horizontal="center" vertical="center"/>
    </xf>
    <xf numFmtId="167" fontId="13" fillId="7" borderId="5" xfId="1" applyNumberFormat="1" applyFont="1" applyFill="1" applyBorder="1" applyAlignment="1">
      <alignment horizontal="center" vertical="center"/>
    </xf>
    <xf numFmtId="167" fontId="13" fillId="8" borderId="5" xfId="1" applyNumberFormat="1" applyFont="1" applyFill="1" applyBorder="1" applyAlignment="1">
      <alignment horizontal="center" vertical="center"/>
    </xf>
    <xf numFmtId="0" fontId="14" fillId="10" borderId="5" xfId="0" applyFont="1" applyFill="1" applyBorder="1" applyAlignment="1">
      <alignment horizontal="left" vertical="center"/>
    </xf>
    <xf numFmtId="167" fontId="12" fillId="0" borderId="0" xfId="1" applyNumberFormat="1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7" borderId="0" xfId="0" applyFill="1" applyAlignment="1">
      <alignment horizontal="left"/>
    </xf>
    <xf numFmtId="1" fontId="0" fillId="0" borderId="0" xfId="0" applyNumberFormat="1"/>
    <xf numFmtId="1" fontId="0" fillId="0" borderId="0" xfId="0" applyNumberFormat="1" applyAlignment="1">
      <alignment horizontal="center"/>
    </xf>
    <xf numFmtId="9" fontId="12" fillId="0" borderId="5" xfId="0" applyNumberFormat="1" applyFont="1" applyBorder="1" applyAlignment="1">
      <alignment horizontal="center" vertical="center"/>
    </xf>
    <xf numFmtId="165" fontId="12" fillId="0" borderId="5" xfId="0" applyNumberFormat="1" applyFont="1" applyBorder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2" fontId="15" fillId="0" borderId="0" xfId="0" applyNumberFormat="1" applyFont="1"/>
  </cellXfs>
  <cellStyles count="3">
    <cellStyle name="Migliaia" xfId="1" builtinId="3"/>
    <cellStyle name="Normale" xfId="0" builtinId="0"/>
    <cellStyle name="Percentuale" xfId="2" builtinId="5"/>
  </cellStyles>
  <dxfs count="31"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82AE43"/>
        </patternFill>
      </fill>
      <alignment horizontal="center" vertical="center" textRotation="0" wrapText="1" indent="0" justifyLastLine="0" shrinkToFit="0" readingOrder="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82AE43"/>
        </patternFill>
      </fill>
      <alignment horizontal="center" vertical="center" textRotation="0" wrapText="1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numFmt numFmtId="1" formatCode="0"/>
    </dxf>
    <dxf>
      <numFmt numFmtId="164" formatCode="_-* #,##0.0\ _€_-;\-* #,##0.0\ _€_-;_-* &quot;-&quot;?\ _€_-;_-@_-"/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379.481366666667" createdVersion="8" refreshedVersion="8" minRefreshableVersion="3" recordCount="326" xr:uid="{F0E370F0-26B2-4840-95D0-2CFBECCA93FD}">
  <cacheSource type="worksheet">
    <worksheetSource ref="A1:E1048576" sheet="Availability"/>
  </cacheSource>
  <cacheFields count="5">
    <cacheField name="Tipo di coltivazione" numFmtId="0">
      <sharedItems containsBlank="1" count="20">
        <s v="barbabietola da zucchero"/>
        <s v="cocomero in piena aria"/>
        <s v="frumento duro"/>
        <s v="frumento tenero"/>
        <s v="girasole"/>
        <s v="kiwi"/>
        <s v="mais"/>
        <s v="orzo"/>
        <s v="pomodoro da industria in piena aria"/>
        <s v="popone o melone in piena aria"/>
        <s v="segale"/>
        <s v="soia"/>
        <s v="sorgo"/>
        <s v="zucchina in piena aria"/>
        <s v="Cow slurry"/>
        <s v="Cow dung"/>
        <s v="Pig slurry"/>
        <s v="Pig dung"/>
        <s v="Chicken dung"/>
        <m/>
      </sharedItems>
    </cacheField>
    <cacheField name="Cluster" numFmtId="0">
      <sharedItems containsBlank="1"/>
    </cacheField>
    <cacheField name="Scarti stimati in tonnellate" numFmtId="0">
      <sharedItems containsString="0" containsBlank="1" containsNumber="1" minValue="110.93333333333335" maxValue="3895625" count="75">
        <n v="1266.4350000000002"/>
        <n v="686.38000000000011"/>
        <n v="625.61500000000001"/>
        <n v="138.95000000000002"/>
        <n v="395.59679999999997"/>
        <n v="357.13599999999997"/>
        <n v="332.69399999999996"/>
        <n v="305.42399999999998"/>
        <n v="253.30799999999999"/>
        <n v="9434.0592500000002"/>
        <n v="6019.1145000000006"/>
        <n v="5846.4787500000002"/>
        <n v="3322.2000000000003"/>
        <n v="1619.5725"/>
        <n v="27828.368750000001"/>
        <n v="25103.373750000002"/>
        <n v="17797.5"/>
        <n v="17777.725000000002"/>
        <n v="17293.237499999999"/>
        <n v="3038.9333333333329"/>
        <n v="2346.6666666666665"/>
        <n v="2200"/>
        <n v="1488"/>
        <n v="1133.3333333333333"/>
        <n v="129.41666666666669"/>
        <n v="114.66666666666669"/>
        <n v="110.93333333333335"/>
        <n v="192286.95652173916"/>
        <n v="163489.13043478262"/>
        <n v="163268.69565217392"/>
        <n v="152608.69565217392"/>
        <n v="148648.50000000003"/>
        <n v="8555.5555555555457"/>
        <n v="8117.3333333333248"/>
        <n v="8002.2222222222135"/>
        <n v="7695.5555555555475"/>
        <n v="7247.3333333333258"/>
        <n v="6386.04"/>
        <n v="6216.28"/>
        <n v="6006"/>
        <n v="5216.96"/>
        <n v="5096"/>
        <n v="139.98599999999999"/>
        <n v="138.3296"/>
        <n v="506.24"/>
        <n v="191.422"/>
        <n v="121.02300000000001"/>
        <n v="21184.2"/>
        <n v="18931.5"/>
        <n v="16983"/>
        <n v="13680"/>
        <n v="11340"/>
        <n v="1483.9160000000002"/>
        <n v="1344.7"/>
        <n v="1220.3152500000001"/>
        <n v="1139.04"/>
        <n v="1089.2070000000001"/>
        <n v="132.31"/>
        <n v="125.32079999999999"/>
        <n v="3850378"/>
        <n v="3895625"/>
        <n v="2957218"/>
        <n v="2208206"/>
        <n v="2240161"/>
        <n v="2275979"/>
        <n v="2388775"/>
        <n v="2282678"/>
        <n v="2385053"/>
        <n v="105382"/>
        <n v="100563"/>
        <n v="106330"/>
        <n v="43707"/>
        <n v="46340"/>
        <n v="42839"/>
        <m/>
      </sharedItems>
    </cacheField>
    <cacheField name="Sottoprodotti" numFmtId="0">
      <sharedItems containsBlank="1"/>
    </cacheField>
    <cacheField name="Anno" numFmtId="0">
      <sharedItems containsString="0" containsBlank="1" containsNumber="1" containsInteger="1" minValue="2016" maxValue="20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386.491032523147" createdVersion="8" refreshedVersion="8" minRefreshableVersion="3" recordCount="63" xr:uid="{FD24C86C-6CA5-4D5D-AFC0-0BE17631DECF}">
  <cacheSource type="worksheet">
    <worksheetSource name="Tabella3"/>
  </cacheSource>
  <cacheFields count="6">
    <cacheField name="name" numFmtId="0">
      <sharedItems/>
    </cacheField>
    <cacheField name="ITEM" numFmtId="0">
      <sharedItems count="10">
        <s v="maize silage"/>
        <s v="wheat byproduct"/>
        <s v="sorghum silage"/>
        <s v="tomato peels"/>
        <s v="chicken dung"/>
        <s v="cow slurry"/>
        <s v="Pig slurry"/>
        <s v="Cow dung"/>
        <s v="triticale silage"/>
        <s v="barley silage"/>
      </sharedItems>
    </cacheField>
    <cacheField name="ST (gST/Kg)" numFmtId="1">
      <sharedItems containsSemiMixedTypes="0" containsString="0" containsNumber="1" minValue="13.11" maxValue="900"/>
    </cacheField>
    <cacheField name="SV(gSV/Kg)" numFmtId="1">
      <sharedItems containsSemiMixedTypes="0" containsString="0" containsNumber="1" minValue="5.62" maxValue="873"/>
    </cacheField>
    <cacheField name="BMPfinale" numFmtId="1">
      <sharedItems containsSemiMixedTypes="0" containsString="0" containsNumber="1" minValue="125" maxValue="400"/>
    </cacheField>
    <cacheField name="kgN/t TQ" numFmtId="1">
      <sharedItems containsString="0" containsBlank="1" containsNumber="1" minValue="3.2" maxValue="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386.505128472221" createdVersion="8" refreshedVersion="8" minRefreshableVersion="3" recordCount="96" xr:uid="{391A3117-7DE2-47E1-83EF-B41116F04988}">
  <cacheSource type="worksheet">
    <worksheetSource ref="A1:P97" sheet="Cpraw"/>
  </cacheSource>
  <cacheFields count="15">
    <cacheField name="Item" numFmtId="0">
      <sharedItems count="8">
        <s v="Frumento tenero panificabile superiore"/>
        <s v="Orzo Comunitario"/>
        <s v="Crusca di frumento tenero"/>
        <s v="Sorgo"/>
        <s v="Farina Glutinata"/>
        <s v="Melasso di barbabietola"/>
        <s v="Polpe essiccate"/>
        <s v="Trinciato di mais (Piante in piedi)"/>
      </sharedItems>
    </cacheField>
    <cacheField name="Mese" numFmtId="0">
      <sharedItems/>
    </cacheField>
    <cacheField name="2009" numFmtId="2">
      <sharedItems containsString="0" containsBlank="1" containsNumber="1" containsInteger="1" minValue="71" maxValue="205"/>
    </cacheField>
    <cacheField name="2014" numFmtId="2">
      <sharedItems containsString="0" containsBlank="1" containsNumber="1" containsInteger="1" minValue="103" maxValue="245"/>
    </cacheField>
    <cacheField name="2019" numFmtId="2">
      <sharedItems containsString="0" containsBlank="1" containsNumber="1" minValue="31.5" maxValue="239"/>
    </cacheField>
    <cacheField name="2020" numFmtId="2">
      <sharedItems containsString="0" containsBlank="1" containsNumber="1" containsInteger="1" minValue="33" maxValue="227"/>
    </cacheField>
    <cacheField name="2021" numFmtId="2">
      <sharedItems containsString="0" containsBlank="1" containsNumber="1" containsInteger="1" minValue="36" maxValue="334"/>
    </cacheField>
    <cacheField name="2022" numFmtId="2">
      <sharedItems containsString="0" containsBlank="1" containsNumber="1" minValue="35.5" maxValue="419"/>
    </cacheField>
    <cacheField name="2023" numFmtId="2">
      <sharedItems containsString="0" containsBlank="1" containsNumber="1" minValue="52.5" maxValue="375"/>
    </cacheField>
    <cacheField name="Mean" numFmtId="0">
      <sharedItems containsMixedTypes="1" containsNumber="1" minValue="33" maxValue="262.14285714285717"/>
    </cacheField>
    <cacheField name="Max" numFmtId="0">
      <sharedItems containsSemiMixedTypes="0" containsString="0" containsNumber="1" minValue="0" maxValue="419"/>
    </cacheField>
    <cacheField name="Min" numFmtId="0">
      <sharedItems containsSemiMixedTypes="0" containsString="0" containsNumber="1" minValue="0" maxValue="205"/>
    </cacheField>
    <cacheField name="Mean year" numFmtId="0">
      <sharedItems containsString="0" containsBlank="1" containsNumber="1" minValue="40.31333333333334" maxValue="255.85542168674698"/>
    </cacheField>
    <cacheField name="Max year" numFmtId="0">
      <sharedItems containsString="0" containsBlank="1" containsNumber="1" containsInteger="1" minValue="65" maxValue="419"/>
    </cacheField>
    <cacheField name="Min year" numFmtId="0">
      <sharedItems containsString="0" containsBlank="1" containsNumber="1" minValue="31.5" maxValue="1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">
  <r>
    <x v="0"/>
    <s v="Barbabietola Zucchero"/>
    <x v="0"/>
    <s v="Polpe secche di barbabietola"/>
    <n v="2017"/>
  </r>
  <r>
    <x v="0"/>
    <s v="Barbabietola Zucchero"/>
    <x v="1"/>
    <s v="Polpe secche di barbabietola"/>
    <n v="2018"/>
  </r>
  <r>
    <x v="0"/>
    <s v="Barbabietola Zucchero"/>
    <x v="2"/>
    <s v="Polpe secche di barbabietola"/>
    <n v="2019"/>
  </r>
  <r>
    <x v="0"/>
    <s v="Barbabietola Zucchero"/>
    <x v="3"/>
    <s v="Polpe secche di barbabietola"/>
    <n v="2016"/>
  </r>
  <r>
    <x v="1"/>
    <s v="Cocomero"/>
    <x v="4"/>
    <s v="Prodotto imperfetto"/>
    <n v="2018"/>
  </r>
  <r>
    <x v="1"/>
    <s v="Cocomero"/>
    <x v="5"/>
    <s v="Prodotto imperfetto"/>
    <n v="2017"/>
  </r>
  <r>
    <x v="1"/>
    <s v="Cocomero"/>
    <x v="6"/>
    <s v="Prodotto imperfetto"/>
    <n v="2020"/>
  </r>
  <r>
    <x v="1"/>
    <s v="Cocomero"/>
    <x v="7"/>
    <s v="Prodotto imperfetto"/>
    <n v="2019"/>
  </r>
  <r>
    <x v="1"/>
    <s v="Cocomero"/>
    <x v="8"/>
    <s v="Prodotto imperfetto"/>
    <n v="2016"/>
  </r>
  <r>
    <x v="2"/>
    <s v="Frumento"/>
    <x v="9"/>
    <s v="Paglia"/>
    <n v="2016"/>
  </r>
  <r>
    <x v="2"/>
    <s v="Frumento"/>
    <x v="10"/>
    <s v="Paglia"/>
    <n v="2017"/>
  </r>
  <r>
    <x v="2"/>
    <s v="Frumento"/>
    <x v="11"/>
    <s v="Paglia"/>
    <n v="2018"/>
  </r>
  <r>
    <x v="2"/>
    <s v="Frumento"/>
    <x v="12"/>
    <s v="Paglia"/>
    <n v="2019"/>
  </r>
  <r>
    <x v="2"/>
    <s v="Frumento"/>
    <x v="13"/>
    <s v="Paglia"/>
    <n v="2020"/>
  </r>
  <r>
    <x v="3"/>
    <s v="Frumento"/>
    <x v="14"/>
    <s v="Paglia"/>
    <n v="2016"/>
  </r>
  <r>
    <x v="3"/>
    <s v="Frumento"/>
    <x v="15"/>
    <s v="Paglia"/>
    <n v="2017"/>
  </r>
  <r>
    <x v="3"/>
    <s v="Frumento"/>
    <x v="16"/>
    <s v="Paglia"/>
    <n v="2020"/>
  </r>
  <r>
    <x v="3"/>
    <s v="Frumento"/>
    <x v="17"/>
    <s v="Paglia"/>
    <n v="2018"/>
  </r>
  <r>
    <x v="3"/>
    <s v="Frumento"/>
    <x v="18"/>
    <s v="Paglia"/>
    <n v="2019"/>
  </r>
  <r>
    <x v="4"/>
    <s v="Girasole"/>
    <x v="19"/>
    <s v="Stocco insilato"/>
    <n v="2020"/>
  </r>
  <r>
    <x v="4"/>
    <s v="Girasole"/>
    <x v="20"/>
    <s v="Stocco insilato"/>
    <n v="2018"/>
  </r>
  <r>
    <x v="4"/>
    <s v="Girasole"/>
    <x v="21"/>
    <s v="Stocco insilato"/>
    <n v="2019"/>
  </r>
  <r>
    <x v="4"/>
    <s v="Girasole"/>
    <x v="22"/>
    <s v="Stocco insilato"/>
    <n v="2016"/>
  </r>
  <r>
    <x v="4"/>
    <s v="Girasole"/>
    <x v="23"/>
    <s v="Stocco insilato"/>
    <n v="2017"/>
  </r>
  <r>
    <x v="5"/>
    <s v="Kiwi"/>
    <x v="24"/>
    <s v="Ramaglie"/>
    <n v="2020"/>
  </r>
  <r>
    <x v="5"/>
    <s v="Kiwi"/>
    <x v="25"/>
    <s v="Ramaglie"/>
    <n v="2018"/>
  </r>
  <r>
    <x v="5"/>
    <s v="Kiwi"/>
    <x v="25"/>
    <s v="Ramaglie"/>
    <n v="2019"/>
  </r>
  <r>
    <x v="5"/>
    <s v="Kiwi"/>
    <x v="26"/>
    <s v="Ramaglie"/>
    <n v="2017"/>
  </r>
  <r>
    <x v="6"/>
    <s v="Mais"/>
    <x v="27"/>
    <s v="Stocco insilato"/>
    <n v="2016"/>
  </r>
  <r>
    <x v="6"/>
    <s v="Mais"/>
    <x v="28"/>
    <s v="Stocco insilato"/>
    <n v="2020"/>
  </r>
  <r>
    <x v="6"/>
    <s v="Mais"/>
    <x v="29"/>
    <s v="Stocco insilato"/>
    <n v="2018"/>
  </r>
  <r>
    <x v="6"/>
    <s v="Mais"/>
    <x v="30"/>
    <s v="Stocco insilato"/>
    <n v="2019"/>
  </r>
  <r>
    <x v="6"/>
    <s v="Mais"/>
    <x v="31"/>
    <s v="Stocco insilato"/>
    <n v="2017"/>
  </r>
  <r>
    <x v="7"/>
    <s v="Orzo"/>
    <x v="32"/>
    <s v="Paglia"/>
    <n v="2016"/>
  </r>
  <r>
    <x v="7"/>
    <s v="Orzo"/>
    <x v="33"/>
    <s v="Paglia"/>
    <n v="2017"/>
  </r>
  <r>
    <x v="7"/>
    <s v="Orzo"/>
    <x v="34"/>
    <s v="Paglia"/>
    <n v="2020"/>
  </r>
  <r>
    <x v="7"/>
    <s v="Orzo"/>
    <x v="35"/>
    <s v="Paglia"/>
    <n v="2019"/>
  </r>
  <r>
    <x v="7"/>
    <s v="Orzo"/>
    <x v="36"/>
    <s v="Paglia"/>
    <n v="2018"/>
  </r>
  <r>
    <x v="8"/>
    <s v="Pomodoro"/>
    <x v="37"/>
    <s v="Buccette"/>
    <n v="2016"/>
  </r>
  <r>
    <x v="8"/>
    <s v="Pomodoro"/>
    <x v="38"/>
    <s v="Buccette"/>
    <n v="2017"/>
  </r>
  <r>
    <x v="8"/>
    <s v="Pomodoro"/>
    <x v="39"/>
    <s v="Buccette"/>
    <n v="2020"/>
  </r>
  <r>
    <x v="8"/>
    <s v="Pomodoro"/>
    <x v="40"/>
    <s v="Buccette"/>
    <n v="2018"/>
  </r>
  <r>
    <x v="8"/>
    <s v="Pomodoro"/>
    <x v="41"/>
    <s v="Buccette"/>
    <n v="2019"/>
  </r>
  <r>
    <x v="9"/>
    <s v="Melone"/>
    <x v="42"/>
    <s v="Ramaglie"/>
    <n v="2018"/>
  </r>
  <r>
    <x v="9"/>
    <s v="Melone"/>
    <x v="43"/>
    <s v="Ramaglie"/>
    <n v="2019"/>
  </r>
  <r>
    <x v="10"/>
    <s v="Segale"/>
    <x v="44"/>
    <s v="Paglia"/>
    <n v="2016"/>
  </r>
  <r>
    <x v="10"/>
    <s v="Segale"/>
    <x v="45"/>
    <s v="Paglia"/>
    <n v="2017"/>
  </r>
  <r>
    <x v="10"/>
    <s v="Segale"/>
    <x v="46"/>
    <s v="Paglia"/>
    <n v="2018"/>
  </r>
  <r>
    <x v="11"/>
    <s v="Soia"/>
    <x v="47"/>
    <s v="Scarti vegetali generici"/>
    <n v="2016"/>
  </r>
  <r>
    <x v="11"/>
    <s v="Soia"/>
    <x v="48"/>
    <s v="Scarti vegetali generici"/>
    <n v="2017"/>
  </r>
  <r>
    <x v="11"/>
    <s v="Soia"/>
    <x v="49"/>
    <s v="Scarti vegetali generici"/>
    <n v="2020"/>
  </r>
  <r>
    <x v="11"/>
    <s v="Soia"/>
    <x v="50"/>
    <s v="Scarti vegetali generici"/>
    <n v="2018"/>
  </r>
  <r>
    <x v="11"/>
    <s v="Soia"/>
    <x v="51"/>
    <s v="Scarti vegetali generici"/>
    <n v="2019"/>
  </r>
  <r>
    <x v="12"/>
    <s v="Sorgo"/>
    <x v="52"/>
    <s v="Stocco insilato"/>
    <n v="2017"/>
  </r>
  <r>
    <x v="12"/>
    <s v="Sorgo"/>
    <x v="53"/>
    <s v="Stocco insilato"/>
    <n v="2020"/>
  </r>
  <r>
    <x v="12"/>
    <s v="Sorgo"/>
    <x v="54"/>
    <s v="Stocco insilato"/>
    <n v="2019"/>
  </r>
  <r>
    <x v="12"/>
    <s v="Sorgo"/>
    <x v="55"/>
    <s v="Stocco insilato"/>
    <n v="2018"/>
  </r>
  <r>
    <x v="12"/>
    <s v="Sorgo"/>
    <x v="56"/>
    <s v="Stocco insilato"/>
    <n v="2016"/>
  </r>
  <r>
    <x v="13"/>
    <s v="Zucchine"/>
    <x v="57"/>
    <s v="Ramaglie"/>
    <n v="2020"/>
  </r>
  <r>
    <x v="13"/>
    <s v="Zucchine"/>
    <x v="58"/>
    <s v="Ramaglie"/>
    <n v="2017"/>
  </r>
  <r>
    <x v="14"/>
    <s v="Liquami"/>
    <x v="59"/>
    <s v="Liquami"/>
    <n v="2018"/>
  </r>
  <r>
    <x v="14"/>
    <s v="Liquami"/>
    <x v="60"/>
    <s v="Liquami"/>
    <n v="2019"/>
  </r>
  <r>
    <x v="14"/>
    <s v="Liquami"/>
    <x v="61"/>
    <s v="Liquami"/>
    <n v="2020"/>
  </r>
  <r>
    <x v="15"/>
    <s v="Letami"/>
    <x v="62"/>
    <s v="Letami"/>
    <n v="2018"/>
  </r>
  <r>
    <x v="15"/>
    <s v="Letami"/>
    <x v="63"/>
    <s v="Letami"/>
    <n v="2019"/>
  </r>
  <r>
    <x v="15"/>
    <s v="Letami"/>
    <x v="64"/>
    <s v="Letami"/>
    <n v="2020"/>
  </r>
  <r>
    <x v="16"/>
    <s v="Liquami"/>
    <x v="65"/>
    <s v="Liquami"/>
    <n v="2018"/>
  </r>
  <r>
    <x v="16"/>
    <s v="Liquami"/>
    <x v="66"/>
    <s v="Liquami"/>
    <n v="2019"/>
  </r>
  <r>
    <x v="16"/>
    <s v="Liquami"/>
    <x v="67"/>
    <s v="Liquami"/>
    <n v="2020"/>
  </r>
  <r>
    <x v="17"/>
    <s v="Letami"/>
    <x v="68"/>
    <s v="Letami"/>
    <n v="2018"/>
  </r>
  <r>
    <x v="17"/>
    <s v="Letami"/>
    <x v="69"/>
    <s v="Letami"/>
    <n v="2019"/>
  </r>
  <r>
    <x v="17"/>
    <s v="Letami"/>
    <x v="70"/>
    <s v="Letami"/>
    <n v="2020"/>
  </r>
  <r>
    <x v="18"/>
    <s v="Letami"/>
    <x v="71"/>
    <s v="Letami"/>
    <n v="2018"/>
  </r>
  <r>
    <x v="18"/>
    <s v="Letami"/>
    <x v="72"/>
    <s v="Letami"/>
    <n v="2019"/>
  </r>
  <r>
    <x v="18"/>
    <s v="Letami"/>
    <x v="73"/>
    <s v="Letami"/>
    <n v="2020"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  <r>
    <x v="19"/>
    <m/>
    <x v="74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s v="Sfibrato di mais"/>
    <x v="0"/>
    <n v="369.2"/>
    <n v="366.2"/>
    <n v="400"/>
    <m/>
  </r>
  <r>
    <s v="insilato di mais"/>
    <x v="0"/>
    <n v="315.7"/>
    <n v="299.8"/>
    <n v="325"/>
    <m/>
  </r>
  <r>
    <s v="insilato di mais"/>
    <x v="0"/>
    <n v="306.60000000000002"/>
    <n v="289.3"/>
    <n v="310"/>
    <m/>
  </r>
  <r>
    <s v="insilato di mais"/>
    <x v="0"/>
    <n v="306.60000000000002"/>
    <n v="289.3"/>
    <n v="310"/>
    <m/>
  </r>
  <r>
    <s v="insilato di mais"/>
    <x v="0"/>
    <n v="334.6"/>
    <n v="321"/>
    <n v="370"/>
    <m/>
  </r>
  <r>
    <s v="insilato di mais"/>
    <x v="0"/>
    <n v="371.6"/>
    <n v="319.2"/>
    <n v="350"/>
    <m/>
  </r>
  <r>
    <s v="Silomais"/>
    <x v="0"/>
    <n v="332.2"/>
    <n v="319.7"/>
    <n v="330"/>
    <m/>
  </r>
  <r>
    <s v="Mais insilato"/>
    <x v="0"/>
    <n v="331.3"/>
    <n v="320.3"/>
    <n v="367"/>
    <m/>
  </r>
  <r>
    <s v="Mais insilato"/>
    <x v="0"/>
    <n v="350"/>
    <n v="335.3"/>
    <n v="349.74"/>
    <m/>
  </r>
  <r>
    <s v="Mais insilato ceroso"/>
    <x v="0"/>
    <n v="340"/>
    <n v="319.59999999999997"/>
    <n v="374.40000000000003"/>
    <n v="3.74"/>
  </r>
  <r>
    <s v="Mais insilato in maturazione lattea"/>
    <x v="0"/>
    <n v="220"/>
    <n v="208.11999999999998"/>
    <n v="295.06440000000003"/>
    <m/>
  </r>
  <r>
    <s v="Biscotti e farine"/>
    <x v="1"/>
    <n v="879"/>
    <n v="823"/>
    <n v="367.1"/>
    <m/>
  </r>
  <r>
    <s v="sottoprodotto:farina di cereali"/>
    <x v="1"/>
    <n v="886"/>
    <n v="831"/>
    <n v="338"/>
    <m/>
  </r>
  <r>
    <s v="sorgo insilato"/>
    <x v="2"/>
    <n v="253"/>
    <n v="208.4"/>
    <n v="300"/>
    <m/>
  </r>
  <r>
    <s v="sorgo insilato"/>
    <x v="2"/>
    <n v="202.2"/>
    <n v="187.7"/>
    <n v="152"/>
    <m/>
  </r>
  <r>
    <s v="trinciato di sorgo da foraggio"/>
    <x v="2"/>
    <n v="182.9"/>
    <n v="169.3"/>
    <n v="191"/>
    <m/>
  </r>
  <r>
    <s v="Sorgo da fibra"/>
    <x v="2"/>
    <n v="250"/>
    <n v="235"/>
    <n v="286"/>
    <m/>
  </r>
  <r>
    <s v="Sorgo granella Insilato"/>
    <x v="2"/>
    <n v="320"/>
    <n v="300.79999999999995"/>
    <n v="306"/>
    <n v="4.5759999999999996"/>
  </r>
  <r>
    <s v="Sorgo zucch. Insilato"/>
    <x v="2"/>
    <n v="280"/>
    <n v="263.2"/>
    <n v="310"/>
    <n v="4.0040000000000004"/>
  </r>
  <r>
    <s v="Sorgo zucch. Insilato PoliMi@CR"/>
    <x v="2"/>
    <n v="280"/>
    <n v="263.2"/>
    <n v="325.5"/>
    <n v="4.0040000000000004"/>
  </r>
  <r>
    <s v="Sorgo zuccherino"/>
    <x v="2"/>
    <n v="300"/>
    <n v="282"/>
    <n v="372.96000000000004"/>
    <m/>
  </r>
  <r>
    <s v="Frumento - Crusca"/>
    <x v="1"/>
    <n v="870"/>
    <n v="856.94999999999993"/>
    <n v="331.50000000000006"/>
    <n v="22.271999999999998"/>
  </r>
  <r>
    <s v="Frumento - Crusca"/>
    <x v="1"/>
    <n v="890"/>
    <n v="769.85"/>
    <n v="304.2"/>
    <m/>
  </r>
  <r>
    <s v="Frumento - Farina da foraggio"/>
    <x v="1"/>
    <n v="882"/>
    <n v="844.07400000000007"/>
    <n v="344.505"/>
    <m/>
  </r>
  <r>
    <s v="Frumento - Farinaccio"/>
    <x v="1"/>
    <n v="900"/>
    <n v="873"/>
    <n v="306"/>
    <m/>
  </r>
  <r>
    <s v="buccette di pomodoro insilate"/>
    <x v="3"/>
    <n v="281"/>
    <n v="272.00799999999998"/>
    <n v="192.5"/>
    <m/>
  </r>
  <r>
    <s v="buccette di pomodoro insilate"/>
    <x v="3"/>
    <n v="275"/>
    <n v="266.2"/>
    <n v="170"/>
    <m/>
  </r>
  <r>
    <s v="buccette di pomodoro insilate"/>
    <x v="3"/>
    <n v="286"/>
    <n v="276.84800000000001"/>
    <n v="223"/>
    <m/>
  </r>
  <r>
    <s v="buccette di pomodoro insilate"/>
    <x v="3"/>
    <n v="283"/>
    <n v="273.94399999999996"/>
    <n v="180"/>
    <m/>
  </r>
  <r>
    <s v="chicken dung"/>
    <x v="4"/>
    <n v="375"/>
    <n v="251.1"/>
    <n v="375"/>
    <m/>
  </r>
  <r>
    <s v="chicken dung"/>
    <x v="4"/>
    <n v="350"/>
    <n v="262.5"/>
    <n v="324.00000000000006"/>
    <n v="17.5"/>
  </r>
  <r>
    <s v="chicken dung"/>
    <x v="4"/>
    <n v="600"/>
    <n v="450"/>
    <n v="244.44444444444446"/>
    <n v="36"/>
  </r>
  <r>
    <s v="chicken dung"/>
    <x v="4"/>
    <n v="280"/>
    <n v="210"/>
    <n v="340.75"/>
    <m/>
  </r>
  <r>
    <s v="chicken dung"/>
    <x v="4"/>
    <n v="500"/>
    <n v="375"/>
    <n v="324.00000000000006"/>
    <n v="25"/>
  </r>
  <r>
    <s v="chicken dung"/>
    <x v="4"/>
    <n v="681"/>
    <n v="483"/>
    <n v="185.7"/>
    <m/>
  </r>
  <r>
    <s v="chicken dung"/>
    <x v="4"/>
    <n v="310.5"/>
    <n v="243.6"/>
    <n v="299.10000000000002"/>
    <m/>
  </r>
  <r>
    <s v="chicken dung"/>
    <x v="4"/>
    <n v="567.9"/>
    <n v="408.4"/>
    <n v="261.89999999999998"/>
    <m/>
  </r>
  <r>
    <s v="cow slurry"/>
    <x v="5"/>
    <n v="13.11"/>
    <n v="5.62"/>
    <n v="320"/>
    <m/>
  </r>
  <r>
    <s v="cow slurry"/>
    <x v="5"/>
    <n v="80"/>
    <n v="72"/>
    <n v="243.6"/>
    <n v="3.2"/>
  </r>
  <r>
    <s v="cow slurry"/>
    <x v="5"/>
    <n v="80"/>
    <n v="64"/>
    <n v="181.5"/>
    <m/>
  </r>
  <r>
    <s v="cow slurry"/>
    <x v="5"/>
    <n v="58.6"/>
    <n v="49.7"/>
    <n v="190"/>
    <m/>
  </r>
  <r>
    <s v="cow slurry"/>
    <x v="5"/>
    <n v="34.700000000000003"/>
    <n v="26.4"/>
    <n v="190"/>
    <m/>
  </r>
  <r>
    <s v="cow slurry"/>
    <x v="5"/>
    <n v="145.30000000000001"/>
    <n v="124.1"/>
    <n v="245"/>
    <m/>
  </r>
  <r>
    <s v="cow slurry"/>
    <x v="5"/>
    <n v="82.3"/>
    <n v="69.900000000000006"/>
    <n v="240"/>
    <m/>
  </r>
  <r>
    <s v="cow slurry"/>
    <x v="5"/>
    <n v="68.400000000000006"/>
    <n v="56.9"/>
    <n v="245"/>
    <m/>
  </r>
  <r>
    <s v="cow slurry"/>
    <x v="5"/>
    <n v="93.6"/>
    <n v="78.5"/>
    <n v="230"/>
    <m/>
  </r>
  <r>
    <s v="cow slurry"/>
    <x v="5"/>
    <n v="62.4"/>
    <n v="51.3"/>
    <n v="228.5"/>
    <m/>
  </r>
  <r>
    <s v="Pig slurry"/>
    <x v="6"/>
    <n v="35"/>
    <n v="28"/>
    <n v="252.3"/>
    <m/>
  </r>
  <r>
    <s v="Pig slurry"/>
    <x v="6"/>
    <n v="40"/>
    <n v="36"/>
    <n v="252"/>
    <n v="3.2"/>
  </r>
  <r>
    <s v="Pig slurry"/>
    <x v="6"/>
    <n v="45"/>
    <n v="36"/>
    <n v="252.3"/>
    <m/>
  </r>
  <r>
    <s v="Pig slurry"/>
    <x v="6"/>
    <n v="68.2"/>
    <n v="48.9"/>
    <n v="130"/>
    <m/>
  </r>
  <r>
    <s v="Pig slurry"/>
    <x v="6"/>
    <n v="68.2"/>
    <n v="48.9"/>
    <n v="125"/>
    <m/>
  </r>
  <r>
    <s v="Cow dung"/>
    <x v="7"/>
    <n v="220"/>
    <n v="171.6"/>
    <n v="209.00000000000003"/>
    <n v="4.3999999999999995"/>
  </r>
  <r>
    <s v="Cow dung"/>
    <x v="7"/>
    <n v="250"/>
    <n v="200"/>
    <n v="165"/>
    <m/>
  </r>
  <r>
    <s v="Cow dung"/>
    <x v="7"/>
    <n v="250"/>
    <n v="200"/>
    <n v="165"/>
    <m/>
  </r>
  <r>
    <s v="Cow dung"/>
    <x v="7"/>
    <n v="250"/>
    <n v="200"/>
    <n v="189.75"/>
    <m/>
  </r>
  <r>
    <s v="Triticale"/>
    <x v="8"/>
    <n v="280"/>
    <n v="266"/>
    <n v="265"/>
    <n v="3.3600000000000003"/>
  </r>
  <r>
    <s v="Triticale"/>
    <x v="8"/>
    <n v="320"/>
    <n v="300.79999999999995"/>
    <n v="300"/>
    <n v="4.4800000000000004"/>
  </r>
  <r>
    <s v="Triticale"/>
    <x v="8"/>
    <n v="300"/>
    <n v="285"/>
    <n v="351"/>
    <m/>
  </r>
  <r>
    <s v="Triticale"/>
    <x v="8"/>
    <n v="300"/>
    <n v="282"/>
    <n v="238"/>
    <m/>
  </r>
  <r>
    <s v="Orzo insilato"/>
    <x v="9"/>
    <n v="320"/>
    <n v="300.79999999999995"/>
    <n v="316.2"/>
    <n v="14"/>
  </r>
  <r>
    <s v="Orzo insilato"/>
    <x v="9"/>
    <n v="280"/>
    <n v="266"/>
    <n v="286.2"/>
    <m/>
  </r>
  <r>
    <s v="Orzo verde - Spiga"/>
    <x v="9"/>
    <n v="240"/>
    <n v="220.32"/>
    <n v="323.98899999999998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x v="0"/>
    <s v="Gennaio"/>
    <n v="202"/>
    <n v="245"/>
    <n v="228"/>
    <n v="217"/>
    <n v="230"/>
    <n v="334"/>
    <n v="368"/>
    <n v="260.57142857142856"/>
    <n v="368"/>
    <n v="202"/>
    <n v="255.85542168674698"/>
    <n v="419"/>
    <n v="166"/>
  </r>
  <r>
    <x v="0"/>
    <s v="Febbraio"/>
    <n v="205"/>
    <n v="240"/>
    <n v="229"/>
    <n v="219"/>
    <n v="242"/>
    <n v="333"/>
    <n v="350"/>
    <n v="259.71428571428572"/>
    <n v="350"/>
    <n v="205"/>
    <m/>
    <m/>
    <m/>
  </r>
  <r>
    <x v="0"/>
    <s v="Marzo"/>
    <n v="189"/>
    <n v="243"/>
    <n v="225"/>
    <n v="219"/>
    <n v="241"/>
    <n v="396"/>
    <n v="322"/>
    <n v="262.14285714285717"/>
    <n v="396"/>
    <n v="189"/>
    <m/>
    <m/>
    <m/>
  </r>
  <r>
    <x v="0"/>
    <s v="Aprile"/>
    <n v="184"/>
    <n v="242"/>
    <n v="224"/>
    <n v="221"/>
    <n v="240"/>
    <n v="410"/>
    <n v="306"/>
    <n v="261"/>
    <n v="410"/>
    <n v="184"/>
    <m/>
    <m/>
    <m/>
  </r>
  <r>
    <x v="0"/>
    <s v="Maggio"/>
    <n v="190"/>
    <n v="237"/>
    <n v="224"/>
    <n v="215"/>
    <n v="248"/>
    <n v="416"/>
    <n v="296"/>
    <n v="260.85714285714283"/>
    <n v="416"/>
    <n v="190"/>
    <m/>
    <m/>
    <m/>
  </r>
  <r>
    <x v="0"/>
    <s v="Giugno"/>
    <n v="189"/>
    <n v="229"/>
    <n v="224"/>
    <n v="209"/>
    <m/>
    <n v="419"/>
    <n v="289"/>
    <n v="259.83333333333331"/>
    <n v="419"/>
    <n v="189"/>
    <m/>
    <m/>
    <m/>
  </r>
  <r>
    <x v="0"/>
    <s v="Luglio"/>
    <n v="173"/>
    <n v="225"/>
    <n v="210"/>
    <n v="198"/>
    <n v="235"/>
    <n v="384"/>
    <n v="257"/>
    <n v="240.28571428571428"/>
    <n v="384"/>
    <n v="173"/>
    <m/>
    <m/>
    <m/>
  </r>
  <r>
    <x v="0"/>
    <s v="Agosto"/>
    <n v="172"/>
    <n v="231"/>
    <n v="210"/>
    <n v="200"/>
    <n v="257"/>
    <n v="383"/>
    <n v="264"/>
    <n v="245.28571428571428"/>
    <n v="383"/>
    <n v="172"/>
    <m/>
    <m/>
    <m/>
  </r>
  <r>
    <x v="0"/>
    <s v="Settembre"/>
    <n v="166"/>
    <n v="229"/>
    <n v="209"/>
    <n v="202"/>
    <n v="270"/>
    <n v="385"/>
    <n v="269"/>
    <n v="247.14285714285714"/>
    <n v="385"/>
    <n v="166"/>
    <m/>
    <m/>
    <m/>
  </r>
  <r>
    <x v="0"/>
    <s v="Ottobre"/>
    <n v="168"/>
    <n v="227"/>
    <n v="209"/>
    <n v="210"/>
    <n v="297"/>
    <n v="394"/>
    <n v="270"/>
    <n v="253.57142857142858"/>
    <n v="394"/>
    <n v="168"/>
    <m/>
    <m/>
    <m/>
  </r>
  <r>
    <x v="0"/>
    <s v="Novembre"/>
    <n v="171"/>
    <n v="229"/>
    <n v="210"/>
    <n v="217"/>
    <n v="328"/>
    <n v="390"/>
    <n v="275"/>
    <n v="260"/>
    <n v="390"/>
    <n v="171"/>
    <m/>
    <m/>
    <m/>
  </r>
  <r>
    <x v="0"/>
    <s v="Dicembre"/>
    <n v="173"/>
    <n v="232"/>
    <n v="214"/>
    <n v="219"/>
    <n v="334"/>
    <n v="376"/>
    <n v="275"/>
    <n v="260.42857142857144"/>
    <n v="376"/>
    <n v="173"/>
    <m/>
    <m/>
    <m/>
  </r>
  <r>
    <x v="1"/>
    <s v="Gennaio"/>
    <n v="155"/>
    <n v="228"/>
    <n v="239"/>
    <n v="196"/>
    <n v="217"/>
    <n v="307"/>
    <n v="319"/>
    <n v="237.28571428571428"/>
    <n v="319"/>
    <n v="155"/>
    <n v="226.63095238095238"/>
    <n v="389"/>
    <n v="135"/>
  </r>
  <r>
    <x v="1"/>
    <s v="Febbraio"/>
    <n v="154"/>
    <n v="224"/>
    <n v="233"/>
    <n v="197"/>
    <n v="229"/>
    <n v="303"/>
    <n v="291"/>
    <n v="233"/>
    <n v="303"/>
    <n v="154"/>
    <m/>
    <m/>
    <m/>
  </r>
  <r>
    <x v="1"/>
    <s v="Marzo"/>
    <n v="144"/>
    <n v="225"/>
    <n v="222"/>
    <n v="197"/>
    <n v="225"/>
    <n v="382"/>
    <n v="270"/>
    <n v="237.85714285714286"/>
    <n v="382"/>
    <n v="144"/>
    <m/>
    <m/>
    <m/>
  </r>
  <r>
    <x v="1"/>
    <s v="Aprile"/>
    <n v="142"/>
    <n v="223"/>
    <n v="221"/>
    <n v="192"/>
    <n v="223"/>
    <n v="385"/>
    <n v="258"/>
    <n v="234.85714285714286"/>
    <n v="385"/>
    <n v="142"/>
    <m/>
    <m/>
    <m/>
  </r>
  <r>
    <x v="1"/>
    <s v="Maggio"/>
    <n v="151"/>
    <n v="218"/>
    <n v="221"/>
    <n v="181"/>
    <n v="244"/>
    <n v="389"/>
    <n v="272"/>
    <n v="239.42857142857142"/>
    <n v="389"/>
    <n v="151"/>
    <m/>
    <m/>
    <m/>
  </r>
  <r>
    <x v="1"/>
    <s v="Giugno"/>
    <n v="146"/>
    <n v="200"/>
    <n v="211"/>
    <n v="173"/>
    <n v="241"/>
    <n v="355"/>
    <n v="246"/>
    <n v="224.57142857142858"/>
    <n v="355"/>
    <n v="146"/>
    <m/>
    <m/>
    <m/>
  </r>
  <r>
    <x v="1"/>
    <s v="Luglio"/>
    <n v="138"/>
    <n v="188"/>
    <n v="186"/>
    <n v="169"/>
    <n v="212"/>
    <n v="339"/>
    <n v="214"/>
    <n v="206.57142857142858"/>
    <n v="339"/>
    <n v="138"/>
    <m/>
    <m/>
    <m/>
  </r>
  <r>
    <x v="1"/>
    <s v="Agosto"/>
    <n v="137"/>
    <n v="186"/>
    <n v="186"/>
    <n v="173"/>
    <n v="233"/>
    <n v="349"/>
    <n v="228"/>
    <n v="213.14285714285714"/>
    <n v="349"/>
    <n v="137"/>
    <m/>
    <m/>
    <m/>
  </r>
  <r>
    <x v="1"/>
    <s v="Settembre"/>
    <n v="135"/>
    <n v="183"/>
    <n v="183"/>
    <n v="179"/>
    <n v="246"/>
    <n v="350"/>
    <n v="222"/>
    <n v="214"/>
    <n v="350"/>
    <n v="135"/>
    <m/>
    <m/>
    <m/>
  </r>
  <r>
    <x v="1"/>
    <s v="Ottobre"/>
    <n v="138"/>
    <n v="185"/>
    <n v="182"/>
    <n v="188"/>
    <n v="268"/>
    <n v="350"/>
    <n v="223"/>
    <n v="219.14285714285714"/>
    <n v="350"/>
    <n v="138"/>
    <m/>
    <m/>
    <m/>
  </r>
  <r>
    <x v="1"/>
    <s v="Novembre"/>
    <n v="142"/>
    <n v="193"/>
    <n v="187"/>
    <n v="200"/>
    <n v="294"/>
    <n v="345"/>
    <n v="236"/>
    <n v="228.14285714285714"/>
    <n v="345"/>
    <n v="142"/>
    <m/>
    <m/>
    <m/>
  </r>
  <r>
    <x v="1"/>
    <s v="Dicembre"/>
    <n v="146"/>
    <n v="204"/>
    <n v="190"/>
    <n v="207"/>
    <n v="308"/>
    <n v="327"/>
    <n v="239"/>
    <n v="231.57142857142858"/>
    <n v="327"/>
    <n v="146"/>
    <m/>
    <m/>
    <m/>
  </r>
  <r>
    <x v="2"/>
    <s v="Gennaio"/>
    <n v="109"/>
    <n v="146"/>
    <n v="155"/>
    <n v="131"/>
    <n v="194"/>
    <n v="217"/>
    <n v="255"/>
    <n v="172.42857142857142"/>
    <n v="255"/>
    <n v="109"/>
    <n v="153.36904761904762"/>
    <n v="284"/>
    <n v="71"/>
  </r>
  <r>
    <x v="2"/>
    <s v="Febbraio"/>
    <n v="88"/>
    <n v="127"/>
    <n v="134"/>
    <n v="119"/>
    <n v="172"/>
    <n v="204"/>
    <n v="230"/>
    <n v="153.42857142857142"/>
    <n v="230"/>
    <n v="88"/>
    <m/>
    <m/>
    <m/>
  </r>
  <r>
    <x v="2"/>
    <s v="Marzo"/>
    <n v="84"/>
    <n v="158"/>
    <n v="128"/>
    <n v="134"/>
    <n v="178"/>
    <n v="253"/>
    <n v="237"/>
    <n v="167.42857142857142"/>
    <n v="253"/>
    <n v="84"/>
    <m/>
    <m/>
    <m/>
  </r>
  <r>
    <x v="2"/>
    <s v="Aprile"/>
    <n v="99"/>
    <n v="178"/>
    <n v="148"/>
    <n v="141"/>
    <n v="193"/>
    <n v="224"/>
    <n v="250"/>
    <n v="176.14285714285714"/>
    <n v="250"/>
    <n v="99"/>
    <m/>
    <m/>
    <m/>
  </r>
  <r>
    <x v="2"/>
    <s v="Maggio"/>
    <n v="91"/>
    <n v="144"/>
    <n v="148"/>
    <n v="133"/>
    <n v="192"/>
    <n v="224"/>
    <n v="220"/>
    <n v="164.57142857142858"/>
    <n v="224"/>
    <n v="91"/>
    <m/>
    <m/>
    <m/>
  </r>
  <r>
    <x v="2"/>
    <s v="Giugno"/>
    <n v="79"/>
    <n v="141"/>
    <n v="128"/>
    <n v="139"/>
    <n v="178"/>
    <n v="213"/>
    <n v="176"/>
    <n v="150.57142857142858"/>
    <n v="213"/>
    <n v="79"/>
    <m/>
    <m/>
    <m/>
  </r>
  <r>
    <x v="2"/>
    <s v="Luglio"/>
    <n v="76"/>
    <n v="134"/>
    <n v="113"/>
    <n v="128"/>
    <n v="138"/>
    <n v="203"/>
    <n v="127"/>
    <n v="131.28571428571428"/>
    <n v="203"/>
    <n v="76"/>
    <m/>
    <m/>
    <m/>
  </r>
  <r>
    <x v="2"/>
    <s v="Agosto"/>
    <n v="80"/>
    <n v="134"/>
    <n v="129"/>
    <n v="140"/>
    <n v="151"/>
    <n v="234"/>
    <n v="132"/>
    <n v="142.85714285714286"/>
    <n v="234"/>
    <n v="80"/>
    <m/>
    <m/>
    <m/>
  </r>
  <r>
    <x v="2"/>
    <s v="Settembre"/>
    <n v="71"/>
    <n v="104"/>
    <n v="102"/>
    <n v="117"/>
    <n v="137"/>
    <n v="229"/>
    <n v="104"/>
    <n v="123.42857142857143"/>
    <n v="229"/>
    <n v="71"/>
    <m/>
    <m/>
    <m/>
  </r>
  <r>
    <x v="2"/>
    <s v="Ottobre"/>
    <n v="83"/>
    <n v="103"/>
    <n v="107"/>
    <n v="133"/>
    <n v="140"/>
    <n v="228"/>
    <n v="105"/>
    <n v="128.42857142857142"/>
    <n v="228"/>
    <n v="83"/>
    <m/>
    <m/>
    <m/>
  </r>
  <r>
    <x v="2"/>
    <s v="Novembre"/>
    <n v="107"/>
    <n v="122"/>
    <n v="128"/>
    <n v="163"/>
    <n v="174"/>
    <n v="284"/>
    <n v="131"/>
    <n v="158.42857142857142"/>
    <n v="284"/>
    <n v="107"/>
    <m/>
    <m/>
    <m/>
  </r>
  <r>
    <x v="2"/>
    <s v="Dicembre"/>
    <n v="126"/>
    <n v="130"/>
    <n v="136"/>
    <n v="175"/>
    <n v="187"/>
    <n v="282"/>
    <n v="164"/>
    <n v="171.42857142857142"/>
    <n v="282"/>
    <n v="126"/>
    <m/>
    <m/>
    <m/>
  </r>
  <r>
    <x v="3"/>
    <s v="Gennaio"/>
    <n v="148"/>
    <n v="202"/>
    <n v="198"/>
    <n v="180"/>
    <n v="207"/>
    <n v="296"/>
    <n v="330"/>
    <n v="223"/>
    <n v="330"/>
    <n v="148"/>
    <n v="219.30136986301369"/>
    <n v="378"/>
    <n v="125"/>
  </r>
  <r>
    <x v="3"/>
    <s v="Febbraio"/>
    <n v="148"/>
    <n v="199"/>
    <n v="197"/>
    <n v="183"/>
    <n v="222"/>
    <n v="291"/>
    <n v="321"/>
    <n v="223"/>
    <n v="321"/>
    <n v="148"/>
    <m/>
    <m/>
    <m/>
  </r>
  <r>
    <x v="3"/>
    <s v="Marzo"/>
    <n v="140"/>
    <n v="209"/>
    <n v="191"/>
    <n v="185"/>
    <n v="222"/>
    <n v="368"/>
    <n v="302"/>
    <n v="231"/>
    <n v="368"/>
    <n v="140"/>
    <m/>
    <m/>
    <m/>
  </r>
  <r>
    <x v="3"/>
    <s v="Aprile"/>
    <n v="138"/>
    <n v="213"/>
    <n v="190"/>
    <n v="185"/>
    <n v="226"/>
    <n v="378"/>
    <n v="282"/>
    <n v="230.28571428571428"/>
    <n v="378"/>
    <n v="138"/>
    <m/>
    <m/>
    <m/>
  </r>
  <r>
    <x v="3"/>
    <s v="Maggio"/>
    <n v="161"/>
    <n v="213"/>
    <n v="187"/>
    <n v="184"/>
    <n v="248"/>
    <n v="378"/>
    <n v="270"/>
    <n v="234.42857142857142"/>
    <n v="378"/>
    <n v="161"/>
    <m/>
    <m/>
    <m/>
  </r>
  <r>
    <x v="3"/>
    <s v="Giugno"/>
    <n v="165"/>
    <n v="214"/>
    <n v="187"/>
    <n v="189"/>
    <n v="249"/>
    <m/>
    <m/>
    <n v="200.8"/>
    <n v="249"/>
    <n v="165"/>
    <m/>
    <m/>
    <m/>
  </r>
  <r>
    <x v="3"/>
    <s v="Luglio"/>
    <m/>
    <m/>
    <n v="187"/>
    <n v="191"/>
    <m/>
    <m/>
    <m/>
    <n v="189"/>
    <n v="191"/>
    <n v="187"/>
    <m/>
    <m/>
    <m/>
  </r>
  <r>
    <x v="3"/>
    <s v="Agosto"/>
    <n v="125"/>
    <m/>
    <m/>
    <n v="180"/>
    <m/>
    <n v="363"/>
    <m/>
    <n v="222.66666666666666"/>
    <n v="363"/>
    <n v="125"/>
    <m/>
    <m/>
    <m/>
  </r>
  <r>
    <x v="3"/>
    <s v="Settembre"/>
    <n v="125"/>
    <n v="160"/>
    <n v="167"/>
    <n v="176"/>
    <n v="251"/>
    <n v="357"/>
    <n v="213"/>
    <n v="207"/>
    <n v="357"/>
    <n v="125"/>
    <m/>
    <m/>
    <m/>
  </r>
  <r>
    <x v="3"/>
    <s v="Ottobre"/>
    <n v="134"/>
    <n v="160"/>
    <n v="168"/>
    <n v="176"/>
    <n v="274"/>
    <n v="357"/>
    <n v="200"/>
    <n v="209.85714285714286"/>
    <n v="357"/>
    <n v="134"/>
    <m/>
    <m/>
    <m/>
  </r>
  <r>
    <x v="3"/>
    <s v="Novembre"/>
    <n v="142"/>
    <n v="169"/>
    <n v="173"/>
    <n v="186"/>
    <n v="293"/>
    <n v="353"/>
    <n v="206"/>
    <n v="217.42857142857142"/>
    <n v="353"/>
    <n v="142"/>
    <m/>
    <m/>
    <m/>
  </r>
  <r>
    <x v="3"/>
    <s v="Dicembre"/>
    <n v="146"/>
    <n v="172"/>
    <n v="175"/>
    <n v="190"/>
    <n v="298"/>
    <n v="332"/>
    <n v="214"/>
    <n v="218.14285714285714"/>
    <n v="332"/>
    <n v="146"/>
    <m/>
    <m/>
    <m/>
  </r>
  <r>
    <x v="4"/>
    <s v="Gennaio"/>
    <m/>
    <n v="209"/>
    <n v="175"/>
    <n v="163"/>
    <n v="208"/>
    <n v="234"/>
    <n v="325"/>
    <n v="219"/>
    <n v="325"/>
    <n v="163"/>
    <n v="231.52777777777777"/>
    <n v="350"/>
    <n v="154"/>
  </r>
  <r>
    <x v="4"/>
    <s v="Febbraio"/>
    <m/>
    <n v="204"/>
    <n v="173"/>
    <n v="166"/>
    <n v="230"/>
    <n v="240"/>
    <n v="328"/>
    <n v="223.5"/>
    <n v="328"/>
    <n v="166"/>
    <m/>
    <m/>
    <m/>
  </r>
  <r>
    <x v="4"/>
    <s v="Marzo"/>
    <m/>
    <n v="204"/>
    <n v="173"/>
    <n v="166"/>
    <n v="233"/>
    <n v="317"/>
    <n v="330"/>
    <n v="237.16666666666666"/>
    <n v="330"/>
    <n v="166"/>
    <m/>
    <m/>
    <m/>
  </r>
  <r>
    <x v="4"/>
    <s v="Aprile"/>
    <m/>
    <n v="207"/>
    <n v="173"/>
    <n v="169"/>
    <n v="237"/>
    <n v="344"/>
    <n v="333"/>
    <n v="243.83333333333334"/>
    <n v="344"/>
    <n v="169"/>
    <m/>
    <m/>
    <m/>
  </r>
  <r>
    <x v="4"/>
    <s v="Maggio"/>
    <m/>
    <n v="201"/>
    <n v="173"/>
    <n v="169"/>
    <n v="246"/>
    <n v="350"/>
    <n v="328"/>
    <n v="244.5"/>
    <n v="350"/>
    <n v="169"/>
    <m/>
    <m/>
    <m/>
  </r>
  <r>
    <x v="4"/>
    <s v="Giugno"/>
    <m/>
    <n v="197"/>
    <n v="174"/>
    <n v="171"/>
    <n v="241"/>
    <n v="333"/>
    <n v="318"/>
    <n v="239"/>
    <n v="333"/>
    <n v="171"/>
    <m/>
    <m/>
    <m/>
  </r>
  <r>
    <x v="4"/>
    <s v="Luglio"/>
    <m/>
    <n v="188"/>
    <n v="174"/>
    <n v="171"/>
    <n v="242"/>
    <n v="334"/>
    <n v="323"/>
    <n v="238.66666666666666"/>
    <n v="334"/>
    <n v="171"/>
    <m/>
    <m/>
    <m/>
  </r>
  <r>
    <x v="4"/>
    <s v="Agosto"/>
    <m/>
    <n v="183"/>
    <n v="174"/>
    <n v="171"/>
    <n v="246"/>
    <n v="344"/>
    <n v="323"/>
    <n v="240.16666666666666"/>
    <n v="344"/>
    <n v="171"/>
    <m/>
    <m/>
    <m/>
  </r>
  <r>
    <x v="4"/>
    <s v="Settembre"/>
    <m/>
    <n v="171"/>
    <n v="173"/>
    <n v="170"/>
    <n v="235"/>
    <n v="341"/>
    <n v="295"/>
    <n v="230.83333333333334"/>
    <n v="341"/>
    <n v="170"/>
    <m/>
    <m/>
    <m/>
  </r>
  <r>
    <x v="4"/>
    <s v="Ottobre"/>
    <m/>
    <n v="154"/>
    <n v="169"/>
    <n v="174"/>
    <n v="233"/>
    <n v="343"/>
    <n v="261"/>
    <n v="222.33333333333334"/>
    <n v="343"/>
    <n v="154"/>
    <m/>
    <m/>
    <m/>
  </r>
  <r>
    <x v="4"/>
    <s v="Novembre"/>
    <m/>
    <n v="157"/>
    <n v="163"/>
    <n v="181"/>
    <n v="229"/>
    <n v="339"/>
    <n v="253"/>
    <n v="220.33333333333334"/>
    <n v="339"/>
    <n v="157"/>
    <m/>
    <m/>
    <m/>
  </r>
  <r>
    <x v="4"/>
    <s v="Dicembre"/>
    <m/>
    <n v="158"/>
    <n v="163"/>
    <n v="188"/>
    <n v="229"/>
    <n v="323"/>
    <n v="253"/>
    <n v="219"/>
    <n v="323"/>
    <n v="158"/>
    <m/>
    <m/>
    <m/>
  </r>
  <r>
    <x v="5"/>
    <s v="Gennaio"/>
    <n v="163"/>
    <n v="194"/>
    <n v="154"/>
    <n v="191"/>
    <n v="214"/>
    <n v="222"/>
    <n v="340"/>
    <n v="211.14285714285714"/>
    <n v="340"/>
    <n v="154"/>
    <n v="223.48809523809524"/>
    <n v="348"/>
    <n v="154"/>
  </r>
  <r>
    <x v="5"/>
    <s v="Febbraio"/>
    <n v="165"/>
    <n v="194"/>
    <n v="155"/>
    <n v="197"/>
    <n v="215"/>
    <n v="225"/>
    <n v="333"/>
    <n v="212"/>
    <n v="333"/>
    <n v="155"/>
    <m/>
    <m/>
    <m/>
  </r>
  <r>
    <x v="5"/>
    <s v="Marzo"/>
    <n v="166"/>
    <n v="194"/>
    <n v="155"/>
    <n v="200"/>
    <n v="216"/>
    <n v="235"/>
    <n v="325"/>
    <n v="213"/>
    <n v="325"/>
    <n v="155"/>
    <m/>
    <m/>
    <m/>
  </r>
  <r>
    <x v="5"/>
    <s v="Aprile"/>
    <n v="166"/>
    <n v="193"/>
    <n v="159"/>
    <n v="208"/>
    <n v="218"/>
    <n v="254"/>
    <n v="325"/>
    <n v="217.57142857142858"/>
    <n v="325"/>
    <n v="159"/>
    <m/>
    <m/>
    <m/>
  </r>
  <r>
    <x v="5"/>
    <s v="Maggio"/>
    <n v="166"/>
    <n v="193"/>
    <n v="167"/>
    <n v="210"/>
    <n v="218"/>
    <n v="281"/>
    <n v="322"/>
    <n v="222.42857142857142"/>
    <n v="322"/>
    <n v="166"/>
    <m/>
    <m/>
    <m/>
  </r>
  <r>
    <x v="5"/>
    <s v="Giugno"/>
    <n v="166"/>
    <n v="193"/>
    <n v="168"/>
    <n v="210"/>
    <n v="217"/>
    <n v="313"/>
    <n v="318"/>
    <n v="226.42857142857142"/>
    <n v="318"/>
    <n v="166"/>
    <m/>
    <m/>
    <m/>
  </r>
  <r>
    <x v="5"/>
    <s v="Luglio"/>
    <n v="166"/>
    <n v="192"/>
    <n v="168"/>
    <n v="210"/>
    <n v="216"/>
    <n v="323"/>
    <n v="315"/>
    <n v="227.14285714285714"/>
    <n v="323"/>
    <n v="166"/>
    <m/>
    <m/>
    <m/>
  </r>
  <r>
    <x v="5"/>
    <s v="Agosto"/>
    <n v="162"/>
    <n v="192"/>
    <n v="168"/>
    <n v="210"/>
    <n v="216"/>
    <n v="328"/>
    <n v="315"/>
    <n v="227.28571428571428"/>
    <n v="328"/>
    <n v="162"/>
    <m/>
    <m/>
    <m/>
  </r>
  <r>
    <x v="5"/>
    <s v="Settembre"/>
    <n v="162"/>
    <n v="192"/>
    <n v="173"/>
    <n v="212"/>
    <n v="218"/>
    <n v="333"/>
    <n v="315"/>
    <n v="229.28571428571428"/>
    <n v="333"/>
    <n v="162"/>
    <m/>
    <m/>
    <m/>
  </r>
  <r>
    <x v="5"/>
    <s v="Ottobre"/>
    <n v="163"/>
    <n v="192"/>
    <n v="175"/>
    <n v="214"/>
    <n v="218"/>
    <n v="343"/>
    <n v="311"/>
    <n v="230.85714285714286"/>
    <n v="343"/>
    <n v="163"/>
    <m/>
    <m/>
    <m/>
  </r>
  <r>
    <x v="5"/>
    <s v="Novembre"/>
    <n v="163"/>
    <n v="192"/>
    <n v="181"/>
    <n v="212"/>
    <n v="218"/>
    <n v="348"/>
    <n v="310"/>
    <n v="232"/>
    <n v="348"/>
    <n v="163"/>
    <m/>
    <m/>
    <m/>
  </r>
  <r>
    <x v="5"/>
    <s v="Dicembre"/>
    <n v="163"/>
    <n v="192"/>
    <n v="184"/>
    <n v="212"/>
    <n v="220"/>
    <n v="348"/>
    <n v="310"/>
    <n v="232.71428571428572"/>
    <n v="348"/>
    <n v="163"/>
    <m/>
    <m/>
    <m/>
  </r>
  <r>
    <x v="6"/>
    <s v="Gennaio"/>
    <n v="142"/>
    <n v="238"/>
    <n v="225"/>
    <n v="210"/>
    <n v="232"/>
    <n v="289"/>
    <n v="375"/>
    <n v="244.42857142857142"/>
    <n v="375"/>
    <n v="142"/>
    <n v="244.6904761904762"/>
    <n v="396"/>
    <n v="123"/>
  </r>
  <r>
    <x v="6"/>
    <s v="Febbraio"/>
    <n v="143"/>
    <n v="243"/>
    <n v="227"/>
    <n v="209"/>
    <n v="236"/>
    <n v="285"/>
    <n v="365"/>
    <n v="244"/>
    <n v="365"/>
    <n v="143"/>
    <m/>
    <m/>
    <m/>
  </r>
  <r>
    <x v="6"/>
    <s v="Marzo"/>
    <n v="138"/>
    <n v="243"/>
    <n v="223"/>
    <n v="207"/>
    <n v="233"/>
    <n v="348"/>
    <n v="357"/>
    <n v="249.85714285714286"/>
    <n v="357"/>
    <n v="138"/>
    <m/>
    <m/>
    <m/>
  </r>
  <r>
    <x v="6"/>
    <s v="Aprile"/>
    <n v="140"/>
    <n v="243"/>
    <n v="224"/>
    <n v="208"/>
    <n v="237"/>
    <n v="368"/>
    <n v="352"/>
    <n v="253.14285714285714"/>
    <n v="368"/>
    <n v="140"/>
    <m/>
    <m/>
    <m/>
  </r>
  <r>
    <x v="6"/>
    <s v="Maggio"/>
    <n v="140"/>
    <n v="243"/>
    <n v="227"/>
    <n v="204"/>
    <n v="253"/>
    <n v="364"/>
    <n v="344"/>
    <n v="253.57142857142858"/>
    <n v="364"/>
    <n v="140"/>
    <m/>
    <m/>
    <m/>
  </r>
  <r>
    <x v="6"/>
    <s v="Giugno"/>
    <n v="140"/>
    <n v="237"/>
    <n v="225"/>
    <n v="200"/>
    <n v="256"/>
    <n v="361"/>
    <n v="341"/>
    <n v="251.42857142857142"/>
    <n v="361"/>
    <n v="140"/>
    <m/>
    <m/>
    <m/>
  </r>
  <r>
    <x v="6"/>
    <s v="Luglio"/>
    <n v="138"/>
    <n v="228"/>
    <n v="224"/>
    <n v="196"/>
    <n v="245"/>
    <n v="363"/>
    <n v="331"/>
    <n v="246.42857142857142"/>
    <n v="363"/>
    <n v="138"/>
    <m/>
    <m/>
    <m/>
  </r>
  <r>
    <x v="6"/>
    <s v="Agosto"/>
    <n v="130"/>
    <n v="221"/>
    <n v="218"/>
    <n v="191"/>
    <n v="240"/>
    <n v="372"/>
    <n v="315"/>
    <n v="241"/>
    <n v="372"/>
    <n v="130"/>
    <m/>
    <m/>
    <m/>
  </r>
  <r>
    <x v="6"/>
    <s v="Settembre"/>
    <n v="125"/>
    <n v="207"/>
    <n v="208"/>
    <n v="196"/>
    <n v="246"/>
    <n v="396"/>
    <n v="286"/>
    <n v="237.71428571428572"/>
    <n v="396"/>
    <n v="125"/>
    <m/>
    <m/>
    <m/>
  </r>
  <r>
    <x v="6"/>
    <s v="Ottobre"/>
    <n v="123"/>
    <n v="195"/>
    <n v="202"/>
    <n v="204"/>
    <n v="271"/>
    <n v="391"/>
    <n v="272"/>
    <n v="236.85714285714286"/>
    <n v="391"/>
    <n v="123"/>
    <m/>
    <m/>
    <m/>
  </r>
  <r>
    <x v="6"/>
    <s v="Novembre"/>
    <n v="124"/>
    <n v="184"/>
    <n v="201"/>
    <n v="215"/>
    <n v="281"/>
    <n v="390"/>
    <n v="267"/>
    <n v="237.42857142857142"/>
    <n v="390"/>
    <n v="124"/>
    <m/>
    <m/>
    <m/>
  </r>
  <r>
    <x v="6"/>
    <s v="Dicembre"/>
    <n v="130"/>
    <n v="182"/>
    <n v="206"/>
    <n v="227"/>
    <n v="288"/>
    <n v="380"/>
    <n v="270"/>
    <n v="240.42857142857142"/>
    <n v="380"/>
    <n v="130"/>
    <m/>
    <m/>
    <m/>
  </r>
  <r>
    <x v="7"/>
    <s v="Gennaio"/>
    <m/>
    <m/>
    <m/>
    <m/>
    <m/>
    <m/>
    <m/>
    <e v="#DIV/0!"/>
    <n v="0"/>
    <n v="0"/>
    <n v="40.31333333333334"/>
    <n v="65"/>
    <n v="31.5"/>
  </r>
  <r>
    <x v="7"/>
    <s v="Febbraio"/>
    <m/>
    <m/>
    <m/>
    <m/>
    <m/>
    <m/>
    <m/>
    <e v="#DIV/0!"/>
    <n v="0"/>
    <n v="0"/>
    <m/>
    <m/>
    <m/>
  </r>
  <r>
    <x v="7"/>
    <s v="Marzo"/>
    <m/>
    <m/>
    <m/>
    <m/>
    <m/>
    <m/>
    <m/>
    <e v="#DIV/0!"/>
    <n v="0"/>
    <n v="0"/>
    <m/>
    <m/>
    <m/>
  </r>
  <r>
    <x v="7"/>
    <s v="Aprile"/>
    <m/>
    <m/>
    <m/>
    <m/>
    <m/>
    <m/>
    <m/>
    <e v="#DIV/0!"/>
    <n v="0"/>
    <n v="0"/>
    <m/>
    <m/>
    <m/>
  </r>
  <r>
    <x v="7"/>
    <s v="Maggio"/>
    <m/>
    <m/>
    <m/>
    <m/>
    <m/>
    <m/>
    <m/>
    <e v="#DIV/0!"/>
    <n v="0"/>
    <n v="0"/>
    <m/>
    <m/>
    <m/>
  </r>
  <r>
    <x v="7"/>
    <s v="Giugno"/>
    <m/>
    <m/>
    <m/>
    <m/>
    <m/>
    <n v="35.5"/>
    <m/>
    <n v="35.5"/>
    <n v="35.5"/>
    <n v="35.5"/>
    <m/>
    <m/>
    <m/>
  </r>
  <r>
    <x v="7"/>
    <s v="Luglio"/>
    <m/>
    <m/>
    <n v="31.5"/>
    <m/>
    <n v="36"/>
    <n v="42.7"/>
    <n v="52.5"/>
    <n v="40.674999999999997"/>
    <n v="52.5"/>
    <n v="31.5"/>
    <m/>
    <m/>
    <m/>
  </r>
  <r>
    <x v="7"/>
    <s v="Agosto"/>
    <m/>
    <m/>
    <n v="31.5"/>
    <n v="33"/>
    <n v="36"/>
    <n v="45"/>
    <n v="62.5"/>
    <n v="41.6"/>
    <n v="62.5"/>
    <n v="31.5"/>
    <m/>
    <m/>
    <m/>
  </r>
  <r>
    <x v="7"/>
    <s v="Settembre"/>
    <m/>
    <m/>
    <n v="31.5"/>
    <n v="33"/>
    <n v="36"/>
    <m/>
    <n v="65"/>
    <n v="41.375"/>
    <n v="65"/>
    <n v="31.5"/>
    <m/>
    <m/>
    <m/>
  </r>
  <r>
    <x v="7"/>
    <s v="Ottobre"/>
    <m/>
    <m/>
    <m/>
    <n v="33"/>
    <m/>
    <m/>
    <m/>
    <n v="33"/>
    <n v="33"/>
    <n v="33"/>
    <m/>
    <m/>
    <m/>
  </r>
  <r>
    <x v="7"/>
    <s v="Novembre"/>
    <m/>
    <m/>
    <m/>
    <m/>
    <m/>
    <m/>
    <m/>
    <e v="#DIV/0!"/>
    <n v="0"/>
    <n v="0"/>
    <m/>
    <m/>
    <m/>
  </r>
  <r>
    <x v="7"/>
    <s v="Dicembre"/>
    <m/>
    <m/>
    <m/>
    <m/>
    <m/>
    <m/>
    <m/>
    <e v="#DIV/0!"/>
    <n v="0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DE196F-A3D2-46CA-B2D2-D99F9F733EB5}" name="Tabella pivot2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H3:K23" firstHeaderRow="0" firstDataRow="1" firstDataCol="1"/>
  <pivotFields count="5">
    <pivotField axis="axisRow" showAll="0">
      <items count="21">
        <item x="0"/>
        <item x="18"/>
        <item x="1"/>
        <item x="15"/>
        <item x="14"/>
        <item x="2"/>
        <item x="3"/>
        <item x="4"/>
        <item x="5"/>
        <item x="6"/>
        <item x="7"/>
        <item x="17"/>
        <item x="16"/>
        <item x="8"/>
        <item x="9"/>
        <item x="10"/>
        <item x="11"/>
        <item x="12"/>
        <item x="13"/>
        <item h="1" x="19"/>
        <item t="default"/>
      </items>
    </pivotField>
    <pivotField showAll="0"/>
    <pivotField dataField="1" showAll="0" includeNewItemsInFilter="1" sumSubtotal="1">
      <items count="76">
        <item x="26"/>
        <item x="25"/>
        <item x="46"/>
        <item x="58"/>
        <item x="24"/>
        <item x="57"/>
        <item x="43"/>
        <item x="3"/>
        <item x="42"/>
        <item x="45"/>
        <item x="8"/>
        <item x="7"/>
        <item x="6"/>
        <item x="5"/>
        <item x="4"/>
        <item x="44"/>
        <item x="2"/>
        <item x="1"/>
        <item x="56"/>
        <item x="23"/>
        <item x="55"/>
        <item x="54"/>
        <item x="0"/>
        <item x="53"/>
        <item x="52"/>
        <item x="22"/>
        <item x="13"/>
        <item x="21"/>
        <item x="20"/>
        <item x="19"/>
        <item x="12"/>
        <item x="41"/>
        <item x="40"/>
        <item x="11"/>
        <item x="39"/>
        <item x="10"/>
        <item x="38"/>
        <item x="37"/>
        <item x="36"/>
        <item x="35"/>
        <item x="34"/>
        <item x="33"/>
        <item x="32"/>
        <item x="9"/>
        <item x="51"/>
        <item x="50"/>
        <item x="49"/>
        <item x="18"/>
        <item x="17"/>
        <item x="16"/>
        <item x="48"/>
        <item x="47"/>
        <item x="15"/>
        <item x="14"/>
        <item x="73"/>
        <item x="71"/>
        <item x="72"/>
        <item x="69"/>
        <item x="68"/>
        <item x="70"/>
        <item x="31"/>
        <item x="30"/>
        <item x="29"/>
        <item x="28"/>
        <item x="27"/>
        <item x="62"/>
        <item x="63"/>
        <item x="64"/>
        <item x="66"/>
        <item x="67"/>
        <item x="65"/>
        <item x="61"/>
        <item x="59"/>
        <item x="60"/>
        <item x="74"/>
        <item t="sum"/>
      </items>
    </pivotField>
    <pivotField showAll="0"/>
    <pivotField showAl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edia di Scarti stimati in tonnellate2" fld="2" subtotal="average" baseField="0" baseItem="0"/>
    <dataField name="Max di Scarti stimati in tonnellate3" fld="2" subtotal="max" baseField="0" baseItem="0"/>
    <dataField name="Min di Scarti stimati in tonnellate4" fld="2" subtotal="min" baseField="0" baseItem="0"/>
  </dataFields>
  <formats count="12">
    <format dxfId="30">
      <pivotArea dataOnly="0" labelOnly="1" fieldPosition="0">
        <references count="1">
          <reference field="0" count="1">
            <x v="1"/>
          </reference>
        </references>
      </pivotArea>
    </format>
    <format dxfId="29">
      <pivotArea dataOnly="0" labelOnly="1" fieldPosition="0">
        <references count="1">
          <reference field="0" count="1">
            <x v="3"/>
          </reference>
        </references>
      </pivotArea>
    </format>
    <format dxfId="28">
      <pivotArea dataOnly="0" labelOnly="1" fieldPosition="0">
        <references count="1">
          <reference field="0" count="1">
            <x v="4"/>
          </reference>
        </references>
      </pivotArea>
    </format>
    <format dxfId="27">
      <pivotArea dataOnly="0" labelOnly="1" fieldPosition="0">
        <references count="1">
          <reference field="0" count="1">
            <x v="12"/>
          </reference>
        </references>
      </pivotArea>
    </format>
    <format dxfId="26">
      <pivotArea collapsedLevelsAreSubtotals="1" fieldPosition="0">
        <references count="1">
          <reference field="0" count="0"/>
        </references>
      </pivotArea>
    </format>
    <format dxfId="25">
      <pivotArea dataOnly="0" labelOnly="1" fieldPosition="0">
        <references count="1">
          <reference field="0" count="1">
            <x v="9"/>
          </reference>
        </references>
      </pivotArea>
    </format>
    <format dxfId="24">
      <pivotArea dataOnly="0" labelOnly="1" fieldPosition="0">
        <references count="1">
          <reference field="0" count="1">
            <x v="17"/>
          </reference>
        </references>
      </pivotArea>
    </format>
    <format dxfId="23">
      <pivotArea dataOnly="0" labelOnly="1" fieldPosition="0">
        <references count="1">
          <reference field="0" count="1">
            <x v="6"/>
          </reference>
        </references>
      </pivotArea>
    </format>
    <format dxfId="22">
      <pivotArea dataOnly="0" labelOnly="1" fieldPosition="0">
        <references count="1">
          <reference field="0" count="1">
            <x v="16"/>
          </reference>
        </references>
      </pivotArea>
    </format>
    <format dxfId="21">
      <pivotArea dataOnly="0" labelOnly="1" fieldPosition="0">
        <references count="1">
          <reference field="0" count="1">
            <x v="13"/>
          </reference>
        </references>
      </pivotArea>
    </format>
    <format dxfId="20">
      <pivotArea dataOnly="0" labelOnly="1" fieldPosition="0">
        <references count="1">
          <reference field="0" count="1">
            <x v="10"/>
          </reference>
        </references>
      </pivotArea>
    </format>
    <format dxfId="19">
      <pivotArea dataOnly="0" labelOnly="1" fieldPosition="0">
        <references count="1">
          <reference field="0" count="1">
            <x v="1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07C31B-302A-4820-8D81-3915DD6B3A30}" name="Tabella pivot1" cacheId="1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H2:S13" firstHeaderRow="0" firstDataRow="1" firstDataCol="1"/>
  <pivotFields count="6">
    <pivotField showAll="0"/>
    <pivotField axis="axisRow" showAll="0" sortType="ascending">
      <items count="11">
        <item x="9"/>
        <item x="4"/>
        <item x="7"/>
        <item x="5"/>
        <item x="0"/>
        <item x="6"/>
        <item x="2"/>
        <item x="3"/>
        <item x="8"/>
        <item x="1"/>
        <item t="default"/>
      </items>
    </pivotField>
    <pivotField dataField="1" numFmtId="1" showAll="0"/>
    <pivotField dataField="1" numFmtId="1" showAll="0"/>
    <pivotField dataField="1" numFmtId="1" showAll="0"/>
    <pivotField dataField="1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dataFields count="11">
    <dataField name="Media di ST (gST/Kg)" fld="2" subtotal="average" baseField="1" baseItem="0"/>
    <dataField name="Min di ST (gST/Kg)" fld="2" subtotal="min" baseField="1" baseItem="0"/>
    <dataField name="Max di ST (gST/Kg)" fld="2" subtotal="max" baseField="1" baseItem="0"/>
    <dataField name="Media di SV(gSV/Kg)" fld="3" subtotal="average" baseField="1" baseItem="0"/>
    <dataField name="Min di SV(gSV/Kg)" fld="3" subtotal="min" baseField="1" baseItem="0"/>
    <dataField name="Max di SV(gSV/Kg)" fld="3" subtotal="max" baseField="1" baseItem="0"/>
    <dataField name="Media di BMPfinale" fld="4" subtotal="average" baseField="1" baseItem="0"/>
    <dataField name="Max di BMPfinale" fld="4" subtotal="max" baseField="1" baseItem="0"/>
    <dataField name="Min di BMPfinale" fld="4" subtotal="min" baseField="1" baseItem="0"/>
    <dataField name="Dev. standard di BMPfinale" fld="4" subtotal="stdDev" baseField="1" baseItem="0"/>
    <dataField name="Media di kgN/t TQ" fld="5" subtotal="average" baseField="1" baseItem="0"/>
  </dataFields>
  <formats count="1">
    <format dxfId="1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D43B50-3A53-48E9-9AA0-7269B54CE57E}" name="Tabella pivot2" cacheId="2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R2:U11" firstHeaderRow="0" firstDataRow="1" firstDataCol="1"/>
  <pivotFields count="15">
    <pivotField axis="axisRow" showAll="0">
      <items count="9">
        <item x="2"/>
        <item x="4"/>
        <item x="0"/>
        <item x="5"/>
        <item x="1"/>
        <item x="6"/>
        <item x="3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a di Mean year" fld="12" baseField="0" baseItem="0"/>
    <dataField name="Somma di Max year" fld="13" baseField="0" baseItem="0"/>
    <dataField name="Somma di Min year" fld="14" baseField="0" baseItem="0"/>
  </dataFields>
  <formats count="1">
    <format dxfId="6">
      <pivotArea collapsedLevelsAreSubtotals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DAF3CA-7A62-4429-B818-13A32CFFF519}" name="Tabella1" displayName="Tabella1" ref="A1:E76" totalsRowShown="0">
  <autoFilter ref="A1:E76" xr:uid="{21DAF3CA-7A62-4429-B818-13A32CFFF519}"/>
  <sortState xmlns:xlrd2="http://schemas.microsoft.com/office/spreadsheetml/2017/richdata2" ref="A2:E61">
    <sortCondition ref="A1:A61"/>
  </sortState>
  <tableColumns count="5">
    <tableColumn id="1" xr3:uid="{BE3B2242-CB12-4DC1-9D4F-0009DD93A645}" name="Tipo di coltivazione"/>
    <tableColumn id="3" xr3:uid="{81B3AFD5-5819-4EEB-B3CD-4FD66F23C5BA}" name="Cluster"/>
    <tableColumn id="4" xr3:uid="{642DED69-48A1-4F81-A65F-AEF9C973A378}" name="Scarti stimati in tonnellate" dataDxfId="18"/>
    <tableColumn id="5" xr3:uid="{2A5BB349-15C7-4A25-A1E0-D0DAB3C38E6E}" name="Sottoprodotti"/>
    <tableColumn id="6" xr3:uid="{A75282ED-B459-4112-A0A9-3BC028D6E396}" name="Ann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41FA55-2939-4B1E-AE24-80007A43792A}" name="Tabella3" displayName="Tabella3" ref="A1:F64" totalsRowShown="0" headerRowDxfId="16" dataDxfId="15">
  <autoFilter ref="A1:F64" xr:uid="{1541FA55-2939-4B1E-AE24-80007A43792A}"/>
  <tableColumns count="6">
    <tableColumn id="1" xr3:uid="{AC11F8FB-525C-4741-902F-D5AA0FB82094}" name="name"/>
    <tableColumn id="2" xr3:uid="{62A4F48A-139F-402F-834D-2654F934D2CD}" name="ITEM"/>
    <tableColumn id="3" xr3:uid="{858F9786-ECA6-4231-8869-C600994DDBB2}" name="ST (gST/Kg)" dataDxfId="14"/>
    <tableColumn id="4" xr3:uid="{2E0D86AD-5D98-4544-8F23-3047B4181DEA}" name="SV(gSV/Kg)" dataDxfId="13"/>
    <tableColumn id="5" xr3:uid="{D53021AF-F7AF-4B99-AF50-375C00A2FC38}" name="BMPfinale" dataDxfId="12"/>
    <tableColumn id="6" xr3:uid="{76E40BF5-C950-46BF-9892-B1F960F16CA2}" name="kgN/t TQ" dataDxfId="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17813E-4181-4CC6-90FA-00DD19A1E281}" name="Tabella25" displayName="Tabella25" ref="A1:M85" totalsRowShown="0" headerRowDxfId="10">
  <autoFilter ref="A1:M85" xr:uid="{05D7900E-656E-4E89-A9DA-9C2541ED92AC}"/>
  <tableColumns count="13">
    <tableColumn id="1" xr3:uid="{B0760D3E-A335-43C0-83D9-B3E1F3322000}" name="name"/>
    <tableColumn id="13" xr3:uid="{6643A16D-1434-4AAD-A4DF-61CD1F2AE3D9}" name="ITEM"/>
    <tableColumn id="2" xr3:uid="{E5D5BBE1-3D97-4688-B0F2-913A6376BF81}" name="Mese"/>
    <tableColumn id="3" xr3:uid="{F6845FF9-D37B-44E4-8495-DC0B7BB21BE7}" name="2009"/>
    <tableColumn id="4" xr3:uid="{BF357294-B30C-48E5-9888-6CFFADA72CD4}" name="2014"/>
    <tableColumn id="5" xr3:uid="{8E864518-2288-4C66-A9FE-CB0DA6A17DE2}" name="2019"/>
    <tableColumn id="6" xr3:uid="{5AACAB5D-1341-43CF-8A8A-1168A8B6AA4A}" name="2020"/>
    <tableColumn id="7" xr3:uid="{1488227E-9117-4C7B-B65F-DFF94C13F2C1}" name="2021"/>
    <tableColumn id="8" xr3:uid="{B963EF50-8714-42BB-ABFF-87F4CB2C7684}" name="2022"/>
    <tableColumn id="9" xr3:uid="{3B8AA016-4069-4B2E-AB0C-74BB5F211337}" name="2023"/>
    <tableColumn id="10" xr3:uid="{D14A2976-3E51-456E-9AD2-99F5CF01F245}" name="Mean" dataDxfId="9">
      <calculatedColumnFormula>AVERAGE(Tabella25[[#This Row],[2009]:[2023]])</calculatedColumnFormula>
    </tableColumn>
    <tableColumn id="11" xr3:uid="{CA40EF9B-C97D-4359-82FE-255E8138995E}" name="Max" dataDxfId="8">
      <calculatedColumnFormula>MAX(Tabella25[[#This Row],[2009]:[2023]])</calculatedColumnFormula>
    </tableColumn>
    <tableColumn id="12" xr3:uid="{6C5E1F02-A7C8-435C-90C8-FFB39C2262FA}" name="Min" dataDxfId="7">
      <calculatedColumnFormula>MIN(Tabella25[[#This Row],[2009]:[2023]])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D7900E-656E-4E89-A9DA-9C2541ED92AC}" name="Tabella2" displayName="Tabella2" ref="A1:M97" totalsRowShown="0" headerRowDxfId="5">
  <autoFilter ref="A1:M97" xr:uid="{05D7900E-656E-4E89-A9DA-9C2541ED92AC}"/>
  <tableColumns count="13">
    <tableColumn id="1" xr3:uid="{F50B8C99-DD52-416D-9650-F8444A247045}" name="name"/>
    <tableColumn id="13" xr3:uid="{18D1D4D7-8977-4C8B-A235-E4EB29240BFF}" name="ITEM"/>
    <tableColumn id="2" xr3:uid="{10917799-82D6-49FB-83D2-999FFD30965F}" name="Mese"/>
    <tableColumn id="3" xr3:uid="{B8DA2046-FC1B-404E-A6D0-610BF821ACCC}" name="2009"/>
    <tableColumn id="4" xr3:uid="{DF3C677B-7228-494A-8E67-283E79F15FBE}" name="2014"/>
    <tableColumn id="5" xr3:uid="{BC61ECCB-2A9A-4542-976F-53A543641F8C}" name="2019"/>
    <tableColumn id="6" xr3:uid="{27C10367-EA61-470B-891D-C4C4A8B683E7}" name="2020"/>
    <tableColumn id="7" xr3:uid="{3DD493F4-6108-482F-8A83-AE8AF67A2085}" name="2021"/>
    <tableColumn id="8" xr3:uid="{8D3BDB1C-F9D7-41E4-86A0-237C9AA6852D}" name="2022"/>
    <tableColumn id="9" xr3:uid="{EEE1D26C-EA3B-43B7-AF5E-E018A7F07C6C}" name="2023"/>
    <tableColumn id="10" xr3:uid="{D1E83662-06CA-4224-9339-95D1C9643C61}" name="Mean" dataDxfId="4">
      <calculatedColumnFormula>AVERAGE(Tabella2[[#This Row],[2009]:[2023]])</calculatedColumnFormula>
    </tableColumn>
    <tableColumn id="11" xr3:uid="{7A3FAD7C-3C33-4ADB-B897-B96FC7868BE4}" name="Max" dataDxfId="3">
      <calculatedColumnFormula>MAX(Tabella2[[#This Row],[2009]:[2023]])</calculatedColumnFormula>
    </tableColumn>
    <tableColumn id="12" xr3:uid="{A5B8EA88-6494-4E18-9371-CB1F4665AB87}" name="Min" dataDxfId="2">
      <calculatedColumnFormula>MIN(Tabella2[[#This Row],[2009]:[2023]])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A732A-62CA-4A13-AF96-6FED3B47EA8D}">
  <dimension ref="A1:P326"/>
  <sheetViews>
    <sheetView zoomScale="85" zoomScaleNormal="85" workbookViewId="0">
      <selection activeCell="H34" sqref="H34:O34"/>
    </sheetView>
  </sheetViews>
  <sheetFormatPr defaultRowHeight="15" x14ac:dyDescent="0.25"/>
  <cols>
    <col min="1" max="1" width="37.7109375" bestFit="1" customWidth="1"/>
    <col min="3" max="3" width="25.42578125" customWidth="1"/>
    <col min="4" max="4" width="14.85546875" customWidth="1"/>
    <col min="8" max="8" width="35.7109375" bestFit="1" customWidth="1"/>
    <col min="9" max="9" width="34.42578125" bestFit="1" customWidth="1"/>
    <col min="10" max="10" width="32.42578125" bestFit="1" customWidth="1"/>
    <col min="11" max="11" width="32.140625" bestFit="1" customWidth="1"/>
    <col min="12" max="12" width="34.28515625" bestFit="1" customWidth="1"/>
    <col min="13" max="13" width="25" bestFit="1" customWidth="1"/>
  </cols>
  <sheetData>
    <row r="1" spans="1:11" x14ac:dyDescent="0.25">
      <c r="A1" t="s">
        <v>50</v>
      </c>
      <c r="B1" t="s">
        <v>52</v>
      </c>
      <c r="C1" t="s">
        <v>53</v>
      </c>
      <c r="D1" t="s">
        <v>54</v>
      </c>
      <c r="E1" t="s">
        <v>51</v>
      </c>
    </row>
    <row r="2" spans="1:11" x14ac:dyDescent="0.25">
      <c r="A2" t="s">
        <v>24</v>
      </c>
      <c r="B2" t="s">
        <v>37</v>
      </c>
      <c r="C2" s="3">
        <v>1266.4350000000002</v>
      </c>
      <c r="D2" t="s">
        <v>47</v>
      </c>
      <c r="E2">
        <v>2017</v>
      </c>
    </row>
    <row r="3" spans="1:11" x14ac:dyDescent="0.25">
      <c r="A3" t="s">
        <v>24</v>
      </c>
      <c r="B3" t="s">
        <v>37</v>
      </c>
      <c r="C3" s="3">
        <v>686.38000000000011</v>
      </c>
      <c r="D3" t="s">
        <v>47</v>
      </c>
      <c r="E3">
        <v>2018</v>
      </c>
      <c r="H3" s="10" t="s">
        <v>78</v>
      </c>
      <c r="I3" t="s">
        <v>80</v>
      </c>
      <c r="J3" t="s">
        <v>83</v>
      </c>
      <c r="K3" t="s">
        <v>84</v>
      </c>
    </row>
    <row r="4" spans="1:11" x14ac:dyDescent="0.25">
      <c r="A4" t="s">
        <v>24</v>
      </c>
      <c r="B4" t="s">
        <v>37</v>
      </c>
      <c r="C4" s="3">
        <v>625.61500000000001</v>
      </c>
      <c r="D4" t="s">
        <v>47</v>
      </c>
      <c r="E4">
        <v>2019</v>
      </c>
      <c r="H4" s="11" t="s">
        <v>24</v>
      </c>
      <c r="I4" s="42">
        <v>679.34500000000003</v>
      </c>
      <c r="J4" s="42">
        <v>1266.4350000000002</v>
      </c>
      <c r="K4" s="42">
        <v>138.95000000000002</v>
      </c>
    </row>
    <row r="5" spans="1:11" x14ac:dyDescent="0.25">
      <c r="A5" t="s">
        <v>24</v>
      </c>
      <c r="B5" t="s">
        <v>37</v>
      </c>
      <c r="C5" s="3">
        <v>138.95000000000002</v>
      </c>
      <c r="D5" t="s">
        <v>47</v>
      </c>
      <c r="E5">
        <v>2016</v>
      </c>
      <c r="H5" s="41" t="s">
        <v>77</v>
      </c>
      <c r="I5" s="42">
        <v>44295.333333333336</v>
      </c>
      <c r="J5" s="42">
        <v>46340</v>
      </c>
      <c r="K5" s="42">
        <v>42839</v>
      </c>
    </row>
    <row r="6" spans="1:11" x14ac:dyDescent="0.25">
      <c r="A6" t="s">
        <v>26</v>
      </c>
      <c r="B6" t="s">
        <v>39</v>
      </c>
      <c r="C6" s="3">
        <v>395.59679999999997</v>
      </c>
      <c r="D6" t="s">
        <v>48</v>
      </c>
      <c r="E6">
        <v>2018</v>
      </c>
      <c r="H6" s="11" t="s">
        <v>26</v>
      </c>
      <c r="I6" s="42">
        <v>328.83175999999997</v>
      </c>
      <c r="J6" s="42">
        <v>395.59679999999997</v>
      </c>
      <c r="K6" s="42">
        <v>253.30799999999999</v>
      </c>
    </row>
    <row r="7" spans="1:11" x14ac:dyDescent="0.25">
      <c r="A7" t="s">
        <v>26</v>
      </c>
      <c r="B7" t="s">
        <v>39</v>
      </c>
      <c r="C7" s="3">
        <v>357.13599999999997</v>
      </c>
      <c r="D7" t="s">
        <v>48</v>
      </c>
      <c r="E7">
        <v>2017</v>
      </c>
      <c r="H7" s="41" t="s">
        <v>74</v>
      </c>
      <c r="I7" s="42">
        <v>2241448.6666666665</v>
      </c>
      <c r="J7" s="42">
        <v>2275979</v>
      </c>
      <c r="K7" s="42">
        <v>2208206</v>
      </c>
    </row>
    <row r="8" spans="1:11" x14ac:dyDescent="0.25">
      <c r="A8" t="s">
        <v>26</v>
      </c>
      <c r="B8" t="s">
        <v>39</v>
      </c>
      <c r="C8" s="3">
        <v>332.69399999999996</v>
      </c>
      <c r="D8" t="s">
        <v>48</v>
      </c>
      <c r="E8">
        <v>2020</v>
      </c>
      <c r="H8" s="41" t="s">
        <v>15</v>
      </c>
      <c r="I8" s="42">
        <v>3567740.3333333335</v>
      </c>
      <c r="J8" s="42">
        <v>3895625</v>
      </c>
      <c r="K8" s="42">
        <v>2957218</v>
      </c>
    </row>
    <row r="9" spans="1:11" x14ac:dyDescent="0.25">
      <c r="A9" t="s">
        <v>26</v>
      </c>
      <c r="B9" t="s">
        <v>39</v>
      </c>
      <c r="C9" s="3">
        <v>305.42399999999998</v>
      </c>
      <c r="D9" t="s">
        <v>48</v>
      </c>
      <c r="E9">
        <v>2019</v>
      </c>
      <c r="H9" s="11" t="s">
        <v>19</v>
      </c>
      <c r="I9" s="42">
        <v>5248.2850000000008</v>
      </c>
      <c r="J9" s="42">
        <v>9434.0592500000002</v>
      </c>
      <c r="K9" s="42">
        <v>1619.5725</v>
      </c>
    </row>
    <row r="10" spans="1:11" x14ac:dyDescent="0.25">
      <c r="A10" t="s">
        <v>26</v>
      </c>
      <c r="B10" t="s">
        <v>39</v>
      </c>
      <c r="C10" s="3">
        <v>253.30799999999999</v>
      </c>
      <c r="D10" t="s">
        <v>48</v>
      </c>
      <c r="E10">
        <v>2016</v>
      </c>
      <c r="H10" s="41" t="s">
        <v>17</v>
      </c>
      <c r="I10" s="42">
        <v>21160.041000000005</v>
      </c>
      <c r="J10" s="42">
        <v>27828.368750000001</v>
      </c>
      <c r="K10" s="42">
        <v>17293.237499999999</v>
      </c>
    </row>
    <row r="11" spans="1:11" x14ac:dyDescent="0.25">
      <c r="A11" t="s">
        <v>19</v>
      </c>
      <c r="B11" t="s">
        <v>31</v>
      </c>
      <c r="C11" s="3">
        <v>9434.0592500000002</v>
      </c>
      <c r="D11" t="s">
        <v>44</v>
      </c>
      <c r="E11">
        <v>2016</v>
      </c>
      <c r="H11" s="11" t="s">
        <v>22</v>
      </c>
      <c r="I11" s="42">
        <v>2041.3866666666665</v>
      </c>
      <c r="J11" s="42">
        <v>3038.9333333333329</v>
      </c>
      <c r="K11" s="42">
        <v>1133.3333333333333</v>
      </c>
    </row>
    <row r="12" spans="1:11" x14ac:dyDescent="0.25">
      <c r="A12" t="s">
        <v>19</v>
      </c>
      <c r="B12" t="s">
        <v>31</v>
      </c>
      <c r="C12" s="3">
        <v>6019.1145000000006</v>
      </c>
      <c r="D12" t="s">
        <v>44</v>
      </c>
      <c r="E12">
        <v>2017</v>
      </c>
      <c r="H12" s="11" t="s">
        <v>29</v>
      </c>
      <c r="I12" s="42">
        <v>117.42083333333335</v>
      </c>
      <c r="J12" s="42">
        <v>129.41666666666669</v>
      </c>
      <c r="K12" s="42">
        <v>110.93333333333335</v>
      </c>
    </row>
    <row r="13" spans="1:11" x14ac:dyDescent="0.25">
      <c r="A13" t="s">
        <v>19</v>
      </c>
      <c r="B13" t="s">
        <v>31</v>
      </c>
      <c r="C13" s="3">
        <v>5846.4787500000002</v>
      </c>
      <c r="D13" t="s">
        <v>44</v>
      </c>
      <c r="E13">
        <v>2018</v>
      </c>
      <c r="H13" s="41" t="s">
        <v>16</v>
      </c>
      <c r="I13" s="42">
        <v>164060.39565217393</v>
      </c>
      <c r="J13" s="42">
        <v>192286.95652173916</v>
      </c>
      <c r="K13" s="42">
        <v>148648.50000000003</v>
      </c>
    </row>
    <row r="14" spans="1:11" x14ac:dyDescent="0.25">
      <c r="A14" t="s">
        <v>19</v>
      </c>
      <c r="B14" t="s">
        <v>31</v>
      </c>
      <c r="C14" s="3">
        <v>3322.2000000000003</v>
      </c>
      <c r="D14" t="s">
        <v>44</v>
      </c>
      <c r="E14">
        <v>2019</v>
      </c>
      <c r="H14" s="41" t="s">
        <v>20</v>
      </c>
      <c r="I14" s="42">
        <v>7923.5999999999913</v>
      </c>
      <c r="J14" s="42">
        <v>8555.5555555555457</v>
      </c>
      <c r="K14" s="42">
        <v>7247.3333333333258</v>
      </c>
    </row>
    <row r="15" spans="1:11" x14ac:dyDescent="0.25">
      <c r="A15" t="s">
        <v>19</v>
      </c>
      <c r="B15" t="s">
        <v>31</v>
      </c>
      <c r="C15" s="3">
        <v>1619.5725</v>
      </c>
      <c r="D15" t="s">
        <v>44</v>
      </c>
      <c r="E15">
        <v>2020</v>
      </c>
      <c r="H15" s="11" t="s">
        <v>76</v>
      </c>
      <c r="I15" s="42">
        <v>104091.66666666667</v>
      </c>
      <c r="J15" s="42">
        <v>106330</v>
      </c>
      <c r="K15" s="42">
        <v>100563</v>
      </c>
    </row>
    <row r="16" spans="1:11" x14ac:dyDescent="0.25">
      <c r="A16" t="s">
        <v>17</v>
      </c>
      <c r="B16" t="s">
        <v>31</v>
      </c>
      <c r="C16" s="3">
        <v>27828.368750000001</v>
      </c>
      <c r="D16" t="s">
        <v>44</v>
      </c>
      <c r="E16">
        <v>2016</v>
      </c>
      <c r="H16" s="41" t="s">
        <v>75</v>
      </c>
      <c r="I16" s="42">
        <v>2352168.6666666665</v>
      </c>
      <c r="J16" s="42">
        <v>2388775</v>
      </c>
      <c r="K16" s="42">
        <v>2282678</v>
      </c>
    </row>
    <row r="17" spans="1:15" x14ac:dyDescent="0.25">
      <c r="A17" t="s">
        <v>17</v>
      </c>
      <c r="B17" t="s">
        <v>31</v>
      </c>
      <c r="C17" s="3">
        <v>25103.373750000002</v>
      </c>
      <c r="D17" t="s">
        <v>44</v>
      </c>
      <c r="E17">
        <v>2017</v>
      </c>
      <c r="H17" s="41" t="s">
        <v>21</v>
      </c>
      <c r="I17" s="42">
        <v>5784.2559999999994</v>
      </c>
      <c r="J17" s="42">
        <v>6386.04</v>
      </c>
      <c r="K17" s="42">
        <v>5096</v>
      </c>
    </row>
    <row r="18" spans="1:15" x14ac:dyDescent="0.25">
      <c r="A18" t="s">
        <v>17</v>
      </c>
      <c r="B18" t="s">
        <v>31</v>
      </c>
      <c r="C18" s="3">
        <v>17797.5</v>
      </c>
      <c r="D18" t="s">
        <v>44</v>
      </c>
      <c r="E18">
        <v>2020</v>
      </c>
      <c r="H18" s="11" t="s">
        <v>27</v>
      </c>
      <c r="I18" s="42">
        <v>139.15780000000001</v>
      </c>
      <c r="J18" s="42">
        <v>139.98599999999999</v>
      </c>
      <c r="K18" s="42">
        <v>138.3296</v>
      </c>
    </row>
    <row r="19" spans="1:15" x14ac:dyDescent="0.25">
      <c r="A19" t="s">
        <v>17</v>
      </c>
      <c r="B19" t="s">
        <v>31</v>
      </c>
      <c r="C19" s="3">
        <v>17777.725000000002</v>
      </c>
      <c r="D19" t="s">
        <v>44</v>
      </c>
      <c r="E19">
        <v>2018</v>
      </c>
      <c r="H19" s="11" t="s">
        <v>25</v>
      </c>
      <c r="I19" s="42">
        <v>272.89500000000004</v>
      </c>
      <c r="J19" s="42">
        <v>506.24</v>
      </c>
      <c r="K19" s="42">
        <v>121.02300000000001</v>
      </c>
    </row>
    <row r="20" spans="1:15" x14ac:dyDescent="0.25">
      <c r="A20" t="s">
        <v>17</v>
      </c>
      <c r="B20" t="s">
        <v>31</v>
      </c>
      <c r="C20" s="3">
        <v>17293.237499999999</v>
      </c>
      <c r="D20" t="s">
        <v>44</v>
      </c>
      <c r="E20">
        <v>2019</v>
      </c>
      <c r="H20" s="41" t="s">
        <v>18</v>
      </c>
      <c r="I20" s="42">
        <v>16423.739999999998</v>
      </c>
      <c r="J20" s="42">
        <v>21184.2</v>
      </c>
      <c r="K20" s="42">
        <v>11340</v>
      </c>
    </row>
    <row r="21" spans="1:15" x14ac:dyDescent="0.25">
      <c r="A21" t="s">
        <v>22</v>
      </c>
      <c r="B21" t="s">
        <v>35</v>
      </c>
      <c r="C21" s="3">
        <v>3038.9333333333329</v>
      </c>
      <c r="D21" t="s">
        <v>43</v>
      </c>
      <c r="E21">
        <v>2020</v>
      </c>
      <c r="H21" s="41" t="s">
        <v>23</v>
      </c>
      <c r="I21" s="42">
        <v>1255.4356500000001</v>
      </c>
      <c r="J21" s="42">
        <v>1483.9160000000002</v>
      </c>
      <c r="K21" s="42">
        <v>1089.2070000000001</v>
      </c>
    </row>
    <row r="22" spans="1:15" x14ac:dyDescent="0.25">
      <c r="A22" t="s">
        <v>22</v>
      </c>
      <c r="B22" t="s">
        <v>35</v>
      </c>
      <c r="C22" s="3">
        <v>2346.6666666666665</v>
      </c>
      <c r="D22" t="s">
        <v>43</v>
      </c>
      <c r="E22">
        <v>2018</v>
      </c>
      <c r="H22" s="11" t="s">
        <v>28</v>
      </c>
      <c r="I22" s="42">
        <v>128.81540000000001</v>
      </c>
      <c r="J22" s="42">
        <v>132.31</v>
      </c>
      <c r="K22" s="42">
        <v>125.32079999999999</v>
      </c>
    </row>
    <row r="23" spans="1:15" x14ac:dyDescent="0.25">
      <c r="A23" t="s">
        <v>22</v>
      </c>
      <c r="B23" t="s">
        <v>35</v>
      </c>
      <c r="C23" s="3">
        <v>2200</v>
      </c>
      <c r="D23" t="s">
        <v>43</v>
      </c>
      <c r="E23">
        <v>2019</v>
      </c>
      <c r="H23" s="11" t="s">
        <v>79</v>
      </c>
      <c r="I23">
        <v>347398.74071170058</v>
      </c>
      <c r="J23">
        <v>3895625</v>
      </c>
      <c r="K23">
        <v>110.93333333333335</v>
      </c>
    </row>
    <row r="24" spans="1:15" x14ac:dyDescent="0.25">
      <c r="A24" t="s">
        <v>22</v>
      </c>
      <c r="B24" t="s">
        <v>35</v>
      </c>
      <c r="C24" s="3">
        <v>1488</v>
      </c>
      <c r="D24" t="s">
        <v>43</v>
      </c>
      <c r="E24">
        <v>2016</v>
      </c>
    </row>
    <row r="25" spans="1:15" x14ac:dyDescent="0.25">
      <c r="A25" t="s">
        <v>22</v>
      </c>
      <c r="B25" t="s">
        <v>35</v>
      </c>
      <c r="C25" s="3">
        <v>1133.3333333333333</v>
      </c>
      <c r="D25" t="s">
        <v>43</v>
      </c>
      <c r="E25">
        <v>2017</v>
      </c>
    </row>
    <row r="26" spans="1:15" x14ac:dyDescent="0.25">
      <c r="A26" t="s">
        <v>29</v>
      </c>
      <c r="B26" t="s">
        <v>42</v>
      </c>
      <c r="C26" s="3">
        <v>129.41666666666669</v>
      </c>
      <c r="D26" t="s">
        <v>49</v>
      </c>
      <c r="E26">
        <v>2020</v>
      </c>
      <c r="I26" t="s">
        <v>93</v>
      </c>
      <c r="J26" t="s">
        <v>94</v>
      </c>
      <c r="K26" t="s">
        <v>95</v>
      </c>
      <c r="L26" t="s">
        <v>173</v>
      </c>
      <c r="M26" t="s">
        <v>177</v>
      </c>
      <c r="N26" t="s">
        <v>178</v>
      </c>
      <c r="O26" t="s">
        <v>180</v>
      </c>
    </row>
    <row r="27" spans="1:15" x14ac:dyDescent="0.25">
      <c r="A27" t="s">
        <v>29</v>
      </c>
      <c r="B27" t="s">
        <v>42</v>
      </c>
      <c r="C27" s="3">
        <v>114.66666666666669</v>
      </c>
      <c r="D27" t="s">
        <v>49</v>
      </c>
      <c r="E27">
        <v>2018</v>
      </c>
      <c r="H27" s="41" t="s">
        <v>170</v>
      </c>
      <c r="I27" s="42">
        <v>7923.5999999999913</v>
      </c>
      <c r="J27" s="42">
        <v>8555.5555555555457</v>
      </c>
      <c r="K27" s="42">
        <v>7247.3333333333258</v>
      </c>
      <c r="L27" t="s">
        <v>175</v>
      </c>
      <c r="M27" s="42">
        <v>1</v>
      </c>
      <c r="N27" s="42">
        <v>0</v>
      </c>
      <c r="O27" s="42">
        <v>0</v>
      </c>
    </row>
    <row r="28" spans="1:15" x14ac:dyDescent="0.25">
      <c r="A28" t="s">
        <v>29</v>
      </c>
      <c r="B28" t="s">
        <v>42</v>
      </c>
      <c r="C28" s="3">
        <v>114.66666666666669</v>
      </c>
      <c r="D28" t="s">
        <v>49</v>
      </c>
      <c r="E28">
        <v>2019</v>
      </c>
      <c r="H28" s="41" t="s">
        <v>77</v>
      </c>
      <c r="I28" s="42">
        <v>44295.333333333336</v>
      </c>
      <c r="J28" s="42">
        <v>46340</v>
      </c>
      <c r="K28" s="42">
        <v>42839</v>
      </c>
      <c r="L28" t="s">
        <v>174</v>
      </c>
      <c r="M28" s="42">
        <v>0</v>
      </c>
      <c r="N28" s="42">
        <v>1</v>
      </c>
      <c r="O28" s="42">
        <v>0</v>
      </c>
    </row>
    <row r="29" spans="1:15" x14ac:dyDescent="0.25">
      <c r="A29" t="s">
        <v>29</v>
      </c>
      <c r="B29" t="s">
        <v>42</v>
      </c>
      <c r="C29" s="3">
        <v>110.93333333333335</v>
      </c>
      <c r="D29" t="s">
        <v>49</v>
      </c>
      <c r="E29">
        <v>2017</v>
      </c>
      <c r="H29" s="41" t="s">
        <v>74</v>
      </c>
      <c r="I29" s="42">
        <v>2241448.6666666665</v>
      </c>
      <c r="J29" s="42">
        <v>2275979</v>
      </c>
      <c r="K29" s="42">
        <v>2208206</v>
      </c>
      <c r="L29" t="s">
        <v>174</v>
      </c>
      <c r="M29" s="42">
        <v>0</v>
      </c>
      <c r="N29" s="42">
        <v>1</v>
      </c>
      <c r="O29" s="42">
        <v>0</v>
      </c>
    </row>
    <row r="30" spans="1:15" x14ac:dyDescent="0.25">
      <c r="A30" t="s">
        <v>16</v>
      </c>
      <c r="B30" t="s">
        <v>30</v>
      </c>
      <c r="C30" s="3">
        <v>192286.95652173916</v>
      </c>
      <c r="D30" t="s">
        <v>43</v>
      </c>
      <c r="E30">
        <v>2016</v>
      </c>
      <c r="H30" s="41" t="s">
        <v>15</v>
      </c>
      <c r="I30" s="42">
        <v>3567740.3333333335</v>
      </c>
      <c r="J30" s="42">
        <v>3895625</v>
      </c>
      <c r="K30" s="42">
        <v>2957218</v>
      </c>
      <c r="L30" t="s">
        <v>174</v>
      </c>
      <c r="M30" s="42">
        <v>0</v>
      </c>
      <c r="N30" s="42">
        <v>1</v>
      </c>
      <c r="O30" s="42">
        <v>0</v>
      </c>
    </row>
    <row r="31" spans="1:15" x14ac:dyDescent="0.25">
      <c r="A31" t="s">
        <v>16</v>
      </c>
      <c r="B31" t="s">
        <v>30</v>
      </c>
      <c r="C31" s="3">
        <v>163489.13043478262</v>
      </c>
      <c r="D31" t="s">
        <v>43</v>
      </c>
      <c r="E31">
        <v>2020</v>
      </c>
      <c r="H31" s="41" t="s">
        <v>168</v>
      </c>
      <c r="I31" s="42">
        <v>164060.39565217393</v>
      </c>
      <c r="J31" s="42">
        <v>192286.95652173916</v>
      </c>
      <c r="K31" s="42">
        <v>148648.50000000003</v>
      </c>
      <c r="L31" t="s">
        <v>175</v>
      </c>
      <c r="M31" s="42">
        <v>0</v>
      </c>
      <c r="N31" s="42">
        <v>0</v>
      </c>
      <c r="O31" s="42">
        <v>1</v>
      </c>
    </row>
    <row r="32" spans="1:15" x14ac:dyDescent="0.25">
      <c r="A32" t="s">
        <v>16</v>
      </c>
      <c r="B32" t="s">
        <v>30</v>
      </c>
      <c r="C32" s="3">
        <v>163268.69565217392</v>
      </c>
      <c r="D32" t="s">
        <v>43</v>
      </c>
      <c r="E32">
        <v>2018</v>
      </c>
      <c r="H32" s="41" t="s">
        <v>75</v>
      </c>
      <c r="I32" s="42">
        <v>2352168.6666666665</v>
      </c>
      <c r="J32" s="42">
        <v>2388775</v>
      </c>
      <c r="K32" s="42">
        <v>2282678</v>
      </c>
      <c r="L32" t="s">
        <v>174</v>
      </c>
      <c r="M32" s="42">
        <v>0</v>
      </c>
      <c r="N32" s="42">
        <v>1</v>
      </c>
      <c r="O32" s="42">
        <v>0</v>
      </c>
    </row>
    <row r="33" spans="1:16" x14ac:dyDescent="0.25">
      <c r="A33" t="s">
        <v>16</v>
      </c>
      <c r="B33" t="s">
        <v>30</v>
      </c>
      <c r="C33" s="3">
        <v>152608.69565217392</v>
      </c>
      <c r="D33" t="s">
        <v>43</v>
      </c>
      <c r="E33">
        <v>2019</v>
      </c>
      <c r="H33" s="41" t="s">
        <v>172</v>
      </c>
      <c r="I33" s="42">
        <v>1255.4356500000001</v>
      </c>
      <c r="J33" s="42">
        <v>1483.9160000000002</v>
      </c>
      <c r="K33" s="42">
        <v>1089.2070000000001</v>
      </c>
      <c r="L33" t="s">
        <v>175</v>
      </c>
      <c r="M33" s="42">
        <v>1</v>
      </c>
      <c r="N33" s="42">
        <v>0</v>
      </c>
      <c r="O33" s="42">
        <v>0</v>
      </c>
    </row>
    <row r="34" spans="1:16" x14ac:dyDescent="0.25">
      <c r="A34" t="s">
        <v>16</v>
      </c>
      <c r="B34" t="s">
        <v>30</v>
      </c>
      <c r="C34" s="3">
        <v>148648.50000000003</v>
      </c>
      <c r="D34" t="s">
        <v>43</v>
      </c>
      <c r="E34">
        <v>2017</v>
      </c>
      <c r="H34" s="41" t="s">
        <v>169</v>
      </c>
      <c r="I34" s="42">
        <v>5784.2559999999994</v>
      </c>
      <c r="J34" s="42">
        <v>6386.04</v>
      </c>
      <c r="K34" s="42">
        <v>5096</v>
      </c>
      <c r="L34" t="s">
        <v>176</v>
      </c>
      <c r="M34" s="42">
        <v>0</v>
      </c>
      <c r="N34" s="42">
        <v>1</v>
      </c>
      <c r="O34" s="42">
        <v>0</v>
      </c>
    </row>
    <row r="35" spans="1:16" x14ac:dyDescent="0.25">
      <c r="A35" t="s">
        <v>20</v>
      </c>
      <c r="B35" t="s">
        <v>33</v>
      </c>
      <c r="C35" s="3">
        <v>8555.5555555555457</v>
      </c>
      <c r="D35" t="s">
        <v>44</v>
      </c>
      <c r="E35">
        <v>2016</v>
      </c>
      <c r="H35" s="41" t="s">
        <v>171</v>
      </c>
      <c r="I35" s="42">
        <f>I34*2</f>
        <v>11568.511999999999</v>
      </c>
      <c r="J35" s="42">
        <f>J34*2</f>
        <v>12772.08</v>
      </c>
      <c r="K35" s="42">
        <f>K34*2</f>
        <v>10192</v>
      </c>
      <c r="L35" t="s">
        <v>175</v>
      </c>
      <c r="M35" s="42">
        <v>1</v>
      </c>
      <c r="N35" s="42">
        <v>0</v>
      </c>
      <c r="O35" s="42">
        <v>0</v>
      </c>
    </row>
    <row r="36" spans="1:16" x14ac:dyDescent="0.25">
      <c r="A36" t="s">
        <v>20</v>
      </c>
      <c r="B36" t="s">
        <v>33</v>
      </c>
      <c r="C36" s="3">
        <v>8117.3333333333248</v>
      </c>
      <c r="D36" t="s">
        <v>44</v>
      </c>
      <c r="E36">
        <v>2017</v>
      </c>
      <c r="G36" t="s">
        <v>210</v>
      </c>
      <c r="H36" s="41" t="s">
        <v>179</v>
      </c>
      <c r="I36" s="42">
        <v>21160.041000000005</v>
      </c>
      <c r="J36" s="42">
        <v>27828.368750000001</v>
      </c>
      <c r="K36" s="42">
        <v>17293.237499999999</v>
      </c>
      <c r="L36" t="s">
        <v>176</v>
      </c>
      <c r="M36" s="42">
        <v>0</v>
      </c>
      <c r="N36" s="42">
        <v>1</v>
      </c>
      <c r="O36" s="42">
        <v>0</v>
      </c>
    </row>
    <row r="37" spans="1:16" x14ac:dyDescent="0.25">
      <c r="A37" t="s">
        <v>20</v>
      </c>
      <c r="B37" t="s">
        <v>33</v>
      </c>
      <c r="C37" s="3">
        <v>8002.2222222222135</v>
      </c>
      <c r="D37" t="s">
        <v>44</v>
      </c>
      <c r="E37">
        <v>2020</v>
      </c>
    </row>
    <row r="38" spans="1:16" x14ac:dyDescent="0.25">
      <c r="A38" t="s">
        <v>20</v>
      </c>
      <c r="B38" t="s">
        <v>33</v>
      </c>
      <c r="C38" s="3">
        <v>7695.5555555555475</v>
      </c>
      <c r="D38" t="s">
        <v>44</v>
      </c>
      <c r="E38">
        <v>2019</v>
      </c>
      <c r="H38" s="11"/>
    </row>
    <row r="39" spans="1:16" x14ac:dyDescent="0.25">
      <c r="A39" t="s">
        <v>20</v>
      </c>
      <c r="B39" t="s">
        <v>33</v>
      </c>
      <c r="C39" s="3">
        <v>7247.3333333333258</v>
      </c>
      <c r="D39" t="s">
        <v>44</v>
      </c>
      <c r="E39">
        <v>2018</v>
      </c>
    </row>
    <row r="40" spans="1:16" x14ac:dyDescent="0.25">
      <c r="A40" t="s">
        <v>21</v>
      </c>
      <c r="B40" t="s">
        <v>34</v>
      </c>
      <c r="C40" s="3">
        <v>6386.04</v>
      </c>
      <c r="D40" t="s">
        <v>46</v>
      </c>
      <c r="E40">
        <v>2016</v>
      </c>
      <c r="H40" s="11"/>
      <c r="I40" s="42"/>
      <c r="J40" s="42"/>
      <c r="K40" s="42"/>
      <c r="L40" s="42"/>
      <c r="N40" s="42"/>
      <c r="O40" s="42"/>
      <c r="P40" s="42"/>
    </row>
    <row r="41" spans="1:16" x14ac:dyDescent="0.25">
      <c r="A41" t="s">
        <v>21</v>
      </c>
      <c r="B41" t="s">
        <v>34</v>
      </c>
      <c r="C41" s="3">
        <v>6216.28</v>
      </c>
      <c r="D41" t="s">
        <v>46</v>
      </c>
      <c r="E41">
        <v>2017</v>
      </c>
      <c r="H41" s="11"/>
      <c r="I41" s="42"/>
      <c r="J41" s="42"/>
      <c r="K41" s="42"/>
      <c r="L41" s="42"/>
      <c r="N41" s="42"/>
      <c r="O41" s="42"/>
      <c r="P41" s="42"/>
    </row>
    <row r="42" spans="1:16" x14ac:dyDescent="0.25">
      <c r="A42" t="s">
        <v>21</v>
      </c>
      <c r="B42" t="s">
        <v>34</v>
      </c>
      <c r="C42" s="3">
        <v>6006</v>
      </c>
      <c r="D42" t="s">
        <v>46</v>
      </c>
      <c r="E42">
        <v>2020</v>
      </c>
      <c r="H42" s="11"/>
      <c r="I42" s="42"/>
      <c r="J42" s="42"/>
      <c r="K42" s="42"/>
      <c r="L42" s="42"/>
      <c r="N42" s="42"/>
      <c r="O42" s="42"/>
      <c r="P42" s="42"/>
    </row>
    <row r="43" spans="1:16" x14ac:dyDescent="0.25">
      <c r="A43" t="s">
        <v>21</v>
      </c>
      <c r="B43" t="s">
        <v>34</v>
      </c>
      <c r="C43" s="3">
        <v>5216.96</v>
      </c>
      <c r="D43" t="s">
        <v>46</v>
      </c>
      <c r="E43">
        <v>2018</v>
      </c>
      <c r="H43" s="11"/>
      <c r="I43" s="42"/>
      <c r="J43" s="42"/>
      <c r="K43" s="42"/>
      <c r="L43" s="42"/>
      <c r="N43" s="42"/>
      <c r="O43" s="42"/>
      <c r="P43" s="42"/>
    </row>
    <row r="44" spans="1:16" x14ac:dyDescent="0.25">
      <c r="A44" t="s">
        <v>21</v>
      </c>
      <c r="B44" t="s">
        <v>34</v>
      </c>
      <c r="C44" s="3">
        <v>5096</v>
      </c>
      <c r="D44" t="s">
        <v>46</v>
      </c>
      <c r="E44">
        <v>2019</v>
      </c>
      <c r="H44" s="11"/>
      <c r="I44" s="42"/>
      <c r="J44" s="42"/>
      <c r="K44" s="42"/>
      <c r="L44" s="42"/>
      <c r="N44" s="42"/>
      <c r="O44" s="42"/>
      <c r="P44" s="42"/>
    </row>
    <row r="45" spans="1:16" x14ac:dyDescent="0.25">
      <c r="A45" t="s">
        <v>27</v>
      </c>
      <c r="B45" t="s">
        <v>40</v>
      </c>
      <c r="C45" s="3">
        <v>139.98599999999999</v>
      </c>
      <c r="D45" t="s">
        <v>49</v>
      </c>
      <c r="E45">
        <v>2018</v>
      </c>
      <c r="H45" s="11"/>
      <c r="I45" s="42"/>
      <c r="J45" s="42"/>
      <c r="K45" s="42"/>
      <c r="L45" s="42"/>
      <c r="N45" s="42"/>
      <c r="O45" s="42"/>
      <c r="P45" s="42"/>
    </row>
    <row r="46" spans="1:16" x14ac:dyDescent="0.25">
      <c r="A46" t="s">
        <v>27</v>
      </c>
      <c r="B46" t="s">
        <v>40</v>
      </c>
      <c r="C46" s="3">
        <v>138.3296</v>
      </c>
      <c r="D46" t="s">
        <v>49</v>
      </c>
      <c r="E46">
        <v>2019</v>
      </c>
      <c r="H46" s="11"/>
      <c r="I46" s="42"/>
      <c r="J46" s="42"/>
      <c r="K46" s="42"/>
      <c r="L46" s="42"/>
      <c r="N46" s="42"/>
      <c r="O46" s="42"/>
      <c r="P46" s="42"/>
    </row>
    <row r="47" spans="1:16" x14ac:dyDescent="0.25">
      <c r="A47" t="s">
        <v>25</v>
      </c>
      <c r="B47" t="s">
        <v>38</v>
      </c>
      <c r="C47" s="3">
        <v>506.24</v>
      </c>
      <c r="D47" t="s">
        <v>44</v>
      </c>
      <c r="E47">
        <v>2016</v>
      </c>
      <c r="H47" s="11"/>
      <c r="I47" s="42"/>
      <c r="J47" s="42"/>
      <c r="K47" s="42"/>
      <c r="L47" s="42"/>
      <c r="N47" s="42"/>
      <c r="O47" s="42"/>
      <c r="P47" s="42"/>
    </row>
    <row r="48" spans="1:16" x14ac:dyDescent="0.25">
      <c r="A48" t="s">
        <v>25</v>
      </c>
      <c r="B48" t="s">
        <v>38</v>
      </c>
      <c r="C48" s="3">
        <v>191.422</v>
      </c>
      <c r="D48" t="s">
        <v>44</v>
      </c>
      <c r="E48">
        <v>2017</v>
      </c>
      <c r="H48" s="11"/>
      <c r="I48" s="42"/>
      <c r="J48" s="42"/>
      <c r="K48" s="42"/>
      <c r="L48" s="42"/>
      <c r="N48" s="42"/>
      <c r="O48" s="42"/>
      <c r="P48" s="42"/>
    </row>
    <row r="49" spans="1:16" x14ac:dyDescent="0.25">
      <c r="A49" t="s">
        <v>25</v>
      </c>
      <c r="B49" t="s">
        <v>38</v>
      </c>
      <c r="C49" s="3">
        <v>121.02300000000001</v>
      </c>
      <c r="D49" t="s">
        <v>44</v>
      </c>
      <c r="E49">
        <v>2018</v>
      </c>
      <c r="H49" s="11"/>
      <c r="I49" s="42"/>
      <c r="J49" s="42"/>
      <c r="K49" s="42"/>
      <c r="L49" s="42"/>
      <c r="N49" s="42"/>
      <c r="O49" s="42"/>
      <c r="P49" s="42"/>
    </row>
    <row r="50" spans="1:16" x14ac:dyDescent="0.25">
      <c r="A50" t="s">
        <v>18</v>
      </c>
      <c r="B50" t="s">
        <v>32</v>
      </c>
      <c r="C50" s="3">
        <v>21184.2</v>
      </c>
      <c r="D50" t="s">
        <v>45</v>
      </c>
      <c r="E50">
        <v>2016</v>
      </c>
    </row>
    <row r="51" spans="1:16" x14ac:dyDescent="0.25">
      <c r="A51" t="s">
        <v>18</v>
      </c>
      <c r="B51" t="s">
        <v>32</v>
      </c>
      <c r="C51" s="3">
        <v>18931.5</v>
      </c>
      <c r="D51" t="s">
        <v>45</v>
      </c>
      <c r="E51">
        <v>2017</v>
      </c>
    </row>
    <row r="52" spans="1:16" x14ac:dyDescent="0.25">
      <c r="A52" t="s">
        <v>18</v>
      </c>
      <c r="B52" t="s">
        <v>32</v>
      </c>
      <c r="C52" s="3">
        <v>16983</v>
      </c>
      <c r="D52" t="s">
        <v>45</v>
      </c>
      <c r="E52">
        <v>2020</v>
      </c>
    </row>
    <row r="53" spans="1:16" x14ac:dyDescent="0.25">
      <c r="A53" t="s">
        <v>18</v>
      </c>
      <c r="B53" t="s">
        <v>32</v>
      </c>
      <c r="C53" s="3">
        <v>13680</v>
      </c>
      <c r="D53" t="s">
        <v>45</v>
      </c>
      <c r="E53">
        <v>2018</v>
      </c>
    </row>
    <row r="54" spans="1:16" x14ac:dyDescent="0.25">
      <c r="A54" t="s">
        <v>18</v>
      </c>
      <c r="B54" t="s">
        <v>32</v>
      </c>
      <c r="C54" s="3">
        <v>11340</v>
      </c>
      <c r="D54" t="s">
        <v>45</v>
      </c>
      <c r="E54">
        <v>2019</v>
      </c>
    </row>
    <row r="55" spans="1:16" x14ac:dyDescent="0.25">
      <c r="A55" t="s">
        <v>23</v>
      </c>
      <c r="B55" t="s">
        <v>36</v>
      </c>
      <c r="C55" s="3">
        <v>1483.9160000000002</v>
      </c>
      <c r="D55" t="s">
        <v>43</v>
      </c>
      <c r="E55">
        <v>2017</v>
      </c>
    </row>
    <row r="56" spans="1:16" x14ac:dyDescent="0.25">
      <c r="A56" t="s">
        <v>23</v>
      </c>
      <c r="B56" t="s">
        <v>36</v>
      </c>
      <c r="C56" s="3">
        <v>1344.7</v>
      </c>
      <c r="D56" t="s">
        <v>43</v>
      </c>
      <c r="E56">
        <v>2020</v>
      </c>
    </row>
    <row r="57" spans="1:16" x14ac:dyDescent="0.25">
      <c r="A57" t="s">
        <v>23</v>
      </c>
      <c r="B57" t="s">
        <v>36</v>
      </c>
      <c r="C57" s="3">
        <v>1220.3152500000001</v>
      </c>
      <c r="D57" t="s">
        <v>43</v>
      </c>
      <c r="E57">
        <v>2019</v>
      </c>
    </row>
    <row r="58" spans="1:16" x14ac:dyDescent="0.25">
      <c r="A58" t="s">
        <v>23</v>
      </c>
      <c r="B58" t="s">
        <v>36</v>
      </c>
      <c r="C58" s="3">
        <v>1139.04</v>
      </c>
      <c r="D58" t="s">
        <v>43</v>
      </c>
      <c r="E58">
        <v>2018</v>
      </c>
    </row>
    <row r="59" spans="1:16" x14ac:dyDescent="0.25">
      <c r="A59" t="s">
        <v>23</v>
      </c>
      <c r="B59" t="s">
        <v>36</v>
      </c>
      <c r="C59" s="3">
        <v>1089.2070000000001</v>
      </c>
      <c r="D59" t="s">
        <v>43</v>
      </c>
      <c r="E59">
        <v>2016</v>
      </c>
    </row>
    <row r="60" spans="1:16" x14ac:dyDescent="0.25">
      <c r="A60" t="s">
        <v>28</v>
      </c>
      <c r="B60" t="s">
        <v>41</v>
      </c>
      <c r="C60" s="3">
        <v>132.31</v>
      </c>
      <c r="D60" t="s">
        <v>49</v>
      </c>
      <c r="E60">
        <v>2020</v>
      </c>
    </row>
    <row r="61" spans="1:16" x14ac:dyDescent="0.25">
      <c r="A61" t="s">
        <v>28</v>
      </c>
      <c r="B61" t="s">
        <v>41</v>
      </c>
      <c r="C61" s="3">
        <v>125.32079999999999</v>
      </c>
      <c r="D61" t="s">
        <v>49</v>
      </c>
      <c r="E61">
        <v>2017</v>
      </c>
    </row>
    <row r="62" spans="1:16" x14ac:dyDescent="0.25">
      <c r="A62" t="s">
        <v>15</v>
      </c>
      <c r="B62" t="s">
        <v>81</v>
      </c>
      <c r="C62" s="3">
        <v>3850378</v>
      </c>
      <c r="D62" t="s">
        <v>81</v>
      </c>
      <c r="E62">
        <v>2018</v>
      </c>
    </row>
    <row r="63" spans="1:16" x14ac:dyDescent="0.25">
      <c r="A63" t="s">
        <v>15</v>
      </c>
      <c r="B63" t="s">
        <v>81</v>
      </c>
      <c r="C63" s="3">
        <v>3895625</v>
      </c>
      <c r="D63" t="s">
        <v>81</v>
      </c>
      <c r="E63">
        <v>2019</v>
      </c>
    </row>
    <row r="64" spans="1:16" x14ac:dyDescent="0.25">
      <c r="A64" t="s">
        <v>15</v>
      </c>
      <c r="B64" t="s">
        <v>81</v>
      </c>
      <c r="C64" s="3">
        <v>2957218</v>
      </c>
      <c r="D64" t="s">
        <v>81</v>
      </c>
      <c r="E64">
        <v>2020</v>
      </c>
    </row>
    <row r="65" spans="1:5" x14ac:dyDescent="0.25">
      <c r="A65" t="s">
        <v>74</v>
      </c>
      <c r="B65" t="s">
        <v>82</v>
      </c>
      <c r="C65" s="3">
        <v>2208206</v>
      </c>
      <c r="D65" t="s">
        <v>82</v>
      </c>
      <c r="E65">
        <v>2018</v>
      </c>
    </row>
    <row r="66" spans="1:5" x14ac:dyDescent="0.25">
      <c r="A66" t="s">
        <v>74</v>
      </c>
      <c r="B66" t="s">
        <v>82</v>
      </c>
      <c r="C66" s="3">
        <v>2240161</v>
      </c>
      <c r="D66" t="s">
        <v>82</v>
      </c>
      <c r="E66">
        <v>2019</v>
      </c>
    </row>
    <row r="67" spans="1:5" x14ac:dyDescent="0.25">
      <c r="A67" t="s">
        <v>74</v>
      </c>
      <c r="B67" t="s">
        <v>82</v>
      </c>
      <c r="C67" s="3">
        <v>2275979</v>
      </c>
      <c r="D67" t="s">
        <v>82</v>
      </c>
      <c r="E67">
        <v>2020</v>
      </c>
    </row>
    <row r="68" spans="1:5" x14ac:dyDescent="0.25">
      <c r="A68" t="s">
        <v>75</v>
      </c>
      <c r="B68" t="s">
        <v>81</v>
      </c>
      <c r="C68" s="3">
        <v>2388775</v>
      </c>
      <c r="D68" t="s">
        <v>81</v>
      </c>
      <c r="E68">
        <v>2018</v>
      </c>
    </row>
    <row r="69" spans="1:5" x14ac:dyDescent="0.25">
      <c r="A69" t="s">
        <v>75</v>
      </c>
      <c r="B69" t="s">
        <v>81</v>
      </c>
      <c r="C69" s="3">
        <v>2282678</v>
      </c>
      <c r="D69" t="s">
        <v>81</v>
      </c>
      <c r="E69">
        <v>2019</v>
      </c>
    </row>
    <row r="70" spans="1:5" x14ac:dyDescent="0.25">
      <c r="A70" t="s">
        <v>75</v>
      </c>
      <c r="B70" t="s">
        <v>81</v>
      </c>
      <c r="C70" s="3">
        <v>2385053</v>
      </c>
      <c r="D70" t="s">
        <v>81</v>
      </c>
      <c r="E70">
        <v>2020</v>
      </c>
    </row>
    <row r="71" spans="1:5" x14ac:dyDescent="0.25">
      <c r="A71" t="s">
        <v>76</v>
      </c>
      <c r="B71" t="s">
        <v>82</v>
      </c>
      <c r="C71" s="3">
        <v>105382</v>
      </c>
      <c r="D71" t="s">
        <v>82</v>
      </c>
      <c r="E71">
        <v>2018</v>
      </c>
    </row>
    <row r="72" spans="1:5" x14ac:dyDescent="0.25">
      <c r="A72" t="s">
        <v>76</v>
      </c>
      <c r="B72" t="s">
        <v>82</v>
      </c>
      <c r="C72" s="3">
        <v>100563</v>
      </c>
      <c r="D72" t="s">
        <v>82</v>
      </c>
      <c r="E72">
        <v>2019</v>
      </c>
    </row>
    <row r="73" spans="1:5" x14ac:dyDescent="0.25">
      <c r="A73" t="s">
        <v>76</v>
      </c>
      <c r="B73" t="s">
        <v>82</v>
      </c>
      <c r="C73" s="3">
        <v>106330</v>
      </c>
      <c r="D73" t="s">
        <v>82</v>
      </c>
      <c r="E73">
        <v>2020</v>
      </c>
    </row>
    <row r="74" spans="1:5" x14ac:dyDescent="0.25">
      <c r="A74" t="s">
        <v>77</v>
      </c>
      <c r="B74" t="s">
        <v>82</v>
      </c>
      <c r="C74" s="3">
        <v>43707</v>
      </c>
      <c r="D74" t="s">
        <v>82</v>
      </c>
      <c r="E74">
        <v>2018</v>
      </c>
    </row>
    <row r="75" spans="1:5" x14ac:dyDescent="0.25">
      <c r="A75" t="s">
        <v>77</v>
      </c>
      <c r="B75" t="s">
        <v>82</v>
      </c>
      <c r="C75" s="3">
        <v>46340</v>
      </c>
      <c r="D75" t="s">
        <v>82</v>
      </c>
      <c r="E75">
        <v>2019</v>
      </c>
    </row>
    <row r="76" spans="1:5" x14ac:dyDescent="0.25">
      <c r="A76" t="s">
        <v>77</v>
      </c>
      <c r="B76" t="s">
        <v>82</v>
      </c>
      <c r="C76" s="3">
        <v>42839</v>
      </c>
      <c r="D76" t="s">
        <v>82</v>
      </c>
      <c r="E76">
        <v>2020</v>
      </c>
    </row>
    <row r="77" spans="1:5" x14ac:dyDescent="0.25">
      <c r="C77" s="3"/>
    </row>
    <row r="78" spans="1:5" x14ac:dyDescent="0.25">
      <c r="C78" s="3"/>
    </row>
    <row r="79" spans="1:5" x14ac:dyDescent="0.25">
      <c r="C79" s="3"/>
    </row>
    <row r="80" spans="1:5" x14ac:dyDescent="0.25">
      <c r="C80" s="3"/>
    </row>
    <row r="81" spans="3:3" x14ac:dyDescent="0.25">
      <c r="C81" s="3"/>
    </row>
    <row r="82" spans="3:3" x14ac:dyDescent="0.25">
      <c r="C82" s="3"/>
    </row>
    <row r="83" spans="3:3" x14ac:dyDescent="0.25">
      <c r="C83" s="3"/>
    </row>
    <row r="84" spans="3:3" x14ac:dyDescent="0.25">
      <c r="C84" s="3"/>
    </row>
    <row r="85" spans="3:3" x14ac:dyDescent="0.25">
      <c r="C85" s="3"/>
    </row>
    <row r="86" spans="3:3" x14ac:dyDescent="0.25">
      <c r="C86" s="3"/>
    </row>
    <row r="87" spans="3:3" x14ac:dyDescent="0.25">
      <c r="C87" s="3"/>
    </row>
    <row r="88" spans="3:3" x14ac:dyDescent="0.25">
      <c r="C88" s="3"/>
    </row>
    <row r="89" spans="3:3" x14ac:dyDescent="0.25">
      <c r="C89" s="3"/>
    </row>
    <row r="90" spans="3:3" x14ac:dyDescent="0.25">
      <c r="C90" s="3"/>
    </row>
    <row r="91" spans="3:3" x14ac:dyDescent="0.25">
      <c r="C91" s="3"/>
    </row>
    <row r="92" spans="3:3" x14ac:dyDescent="0.25">
      <c r="C92" s="3"/>
    </row>
    <row r="93" spans="3:3" x14ac:dyDescent="0.25">
      <c r="C93" s="3"/>
    </row>
    <row r="94" spans="3:3" x14ac:dyDescent="0.25">
      <c r="C94" s="3"/>
    </row>
    <row r="95" spans="3:3" x14ac:dyDescent="0.25">
      <c r="C95" s="3"/>
    </row>
    <row r="96" spans="3:3" x14ac:dyDescent="0.25">
      <c r="C96" s="3"/>
    </row>
    <row r="97" spans="3:3" x14ac:dyDescent="0.25">
      <c r="C97" s="3"/>
    </row>
    <row r="98" spans="3:3" x14ac:dyDescent="0.25">
      <c r="C98" s="3"/>
    </row>
    <row r="99" spans="3:3" x14ac:dyDescent="0.25">
      <c r="C99" s="3"/>
    </row>
    <row r="100" spans="3:3" x14ac:dyDescent="0.25">
      <c r="C100" s="3"/>
    </row>
    <row r="101" spans="3:3" x14ac:dyDescent="0.25">
      <c r="C101" s="3"/>
    </row>
    <row r="102" spans="3:3" x14ac:dyDescent="0.25">
      <c r="C102" s="3"/>
    </row>
    <row r="103" spans="3:3" x14ac:dyDescent="0.25">
      <c r="C103" s="3"/>
    </row>
    <row r="104" spans="3:3" x14ac:dyDescent="0.25">
      <c r="C104" s="3"/>
    </row>
    <row r="105" spans="3:3" x14ac:dyDescent="0.25">
      <c r="C105" s="3"/>
    </row>
    <row r="106" spans="3:3" x14ac:dyDescent="0.25">
      <c r="C106" s="3"/>
    </row>
    <row r="107" spans="3:3" x14ac:dyDescent="0.25">
      <c r="C107" s="3"/>
    </row>
    <row r="108" spans="3:3" x14ac:dyDescent="0.25">
      <c r="C108" s="3"/>
    </row>
    <row r="109" spans="3:3" x14ac:dyDescent="0.25">
      <c r="C109" s="3"/>
    </row>
    <row r="110" spans="3:3" x14ac:dyDescent="0.25">
      <c r="C110" s="3"/>
    </row>
    <row r="111" spans="3:3" x14ac:dyDescent="0.25">
      <c r="C111" s="3"/>
    </row>
    <row r="112" spans="3:3" x14ac:dyDescent="0.25">
      <c r="C112" s="3"/>
    </row>
    <row r="113" spans="3:3" x14ac:dyDescent="0.25">
      <c r="C113" s="3"/>
    </row>
    <row r="114" spans="3:3" x14ac:dyDescent="0.25">
      <c r="C114" s="3"/>
    </row>
    <row r="115" spans="3:3" x14ac:dyDescent="0.25">
      <c r="C115" s="3"/>
    </row>
    <row r="116" spans="3:3" x14ac:dyDescent="0.25">
      <c r="C116" s="3"/>
    </row>
    <row r="117" spans="3:3" x14ac:dyDescent="0.25">
      <c r="C117" s="3"/>
    </row>
    <row r="118" spans="3:3" x14ac:dyDescent="0.25">
      <c r="C118" s="3"/>
    </row>
    <row r="119" spans="3:3" x14ac:dyDescent="0.25">
      <c r="C119" s="3"/>
    </row>
    <row r="120" spans="3:3" x14ac:dyDescent="0.25">
      <c r="C120" s="3"/>
    </row>
    <row r="121" spans="3:3" x14ac:dyDescent="0.25">
      <c r="C121" s="3"/>
    </row>
    <row r="122" spans="3:3" x14ac:dyDescent="0.25">
      <c r="C122" s="3"/>
    </row>
    <row r="123" spans="3:3" x14ac:dyDescent="0.25">
      <c r="C123" s="3"/>
    </row>
    <row r="124" spans="3:3" x14ac:dyDescent="0.25">
      <c r="C124" s="3"/>
    </row>
    <row r="125" spans="3:3" x14ac:dyDescent="0.25">
      <c r="C125" s="3"/>
    </row>
    <row r="126" spans="3:3" x14ac:dyDescent="0.25">
      <c r="C126" s="3"/>
    </row>
    <row r="127" spans="3:3" x14ac:dyDescent="0.25">
      <c r="C127" s="3"/>
    </row>
    <row r="128" spans="3:3" x14ac:dyDescent="0.25">
      <c r="C128" s="3"/>
    </row>
    <row r="129" spans="3:3" x14ac:dyDescent="0.25">
      <c r="C129" s="3"/>
    </row>
    <row r="130" spans="3:3" x14ac:dyDescent="0.25">
      <c r="C130" s="3"/>
    </row>
    <row r="131" spans="3:3" x14ac:dyDescent="0.25">
      <c r="C131" s="3"/>
    </row>
    <row r="132" spans="3:3" x14ac:dyDescent="0.25">
      <c r="C132" s="3"/>
    </row>
    <row r="133" spans="3:3" x14ac:dyDescent="0.25">
      <c r="C133" s="3"/>
    </row>
    <row r="134" spans="3:3" x14ac:dyDescent="0.25">
      <c r="C134" s="3"/>
    </row>
    <row r="135" spans="3:3" x14ac:dyDescent="0.25">
      <c r="C135" s="3"/>
    </row>
    <row r="136" spans="3:3" x14ac:dyDescent="0.25">
      <c r="C136" s="3"/>
    </row>
    <row r="137" spans="3:3" x14ac:dyDescent="0.25">
      <c r="C137" s="3"/>
    </row>
    <row r="138" spans="3:3" x14ac:dyDescent="0.25">
      <c r="C138" s="3"/>
    </row>
    <row r="139" spans="3:3" x14ac:dyDescent="0.25">
      <c r="C139" s="3"/>
    </row>
    <row r="140" spans="3:3" x14ac:dyDescent="0.25">
      <c r="C140" s="3"/>
    </row>
    <row r="141" spans="3:3" x14ac:dyDescent="0.25">
      <c r="C141" s="3"/>
    </row>
    <row r="142" spans="3:3" x14ac:dyDescent="0.25">
      <c r="C142" s="3"/>
    </row>
    <row r="143" spans="3:3" x14ac:dyDescent="0.25">
      <c r="C143" s="3"/>
    </row>
    <row r="144" spans="3:3" x14ac:dyDescent="0.25">
      <c r="C144" s="3"/>
    </row>
    <row r="145" spans="3:3" x14ac:dyDescent="0.25">
      <c r="C145" s="3"/>
    </row>
    <row r="146" spans="3:3" x14ac:dyDescent="0.25">
      <c r="C146" s="3"/>
    </row>
    <row r="147" spans="3:3" x14ac:dyDescent="0.25">
      <c r="C147" s="3"/>
    </row>
    <row r="148" spans="3:3" x14ac:dyDescent="0.25">
      <c r="C148" s="3"/>
    </row>
    <row r="149" spans="3:3" x14ac:dyDescent="0.25">
      <c r="C149" s="3"/>
    </row>
    <row r="150" spans="3:3" x14ac:dyDescent="0.25">
      <c r="C150" s="3"/>
    </row>
    <row r="151" spans="3:3" x14ac:dyDescent="0.25">
      <c r="C151" s="3"/>
    </row>
    <row r="152" spans="3:3" x14ac:dyDescent="0.25">
      <c r="C152" s="3"/>
    </row>
    <row r="153" spans="3:3" x14ac:dyDescent="0.25">
      <c r="C153" s="3"/>
    </row>
    <row r="154" spans="3:3" x14ac:dyDescent="0.25">
      <c r="C154" s="3"/>
    </row>
    <row r="155" spans="3:3" x14ac:dyDescent="0.25">
      <c r="C155" s="3"/>
    </row>
    <row r="156" spans="3:3" x14ac:dyDescent="0.25">
      <c r="C156" s="3"/>
    </row>
    <row r="157" spans="3:3" x14ac:dyDescent="0.25">
      <c r="C157" s="3"/>
    </row>
    <row r="158" spans="3:3" x14ac:dyDescent="0.25">
      <c r="C158" s="3"/>
    </row>
    <row r="159" spans="3:3" x14ac:dyDescent="0.25">
      <c r="C159" s="3"/>
    </row>
    <row r="160" spans="3:3" x14ac:dyDescent="0.25">
      <c r="C160" s="3"/>
    </row>
    <row r="161" spans="3:3" x14ac:dyDescent="0.25">
      <c r="C161" s="3"/>
    </row>
    <row r="162" spans="3:3" x14ac:dyDescent="0.25">
      <c r="C162" s="3"/>
    </row>
    <row r="163" spans="3:3" x14ac:dyDescent="0.25">
      <c r="C163" s="3"/>
    </row>
    <row r="164" spans="3:3" x14ac:dyDescent="0.25">
      <c r="C164" s="3"/>
    </row>
    <row r="165" spans="3:3" x14ac:dyDescent="0.25">
      <c r="C165" s="3"/>
    </row>
    <row r="166" spans="3:3" x14ac:dyDescent="0.25">
      <c r="C166" s="3"/>
    </row>
    <row r="167" spans="3:3" x14ac:dyDescent="0.25">
      <c r="C167" s="3"/>
    </row>
    <row r="168" spans="3:3" x14ac:dyDescent="0.25">
      <c r="C168" s="3"/>
    </row>
    <row r="169" spans="3:3" x14ac:dyDescent="0.25">
      <c r="C169" s="3"/>
    </row>
    <row r="170" spans="3:3" x14ac:dyDescent="0.25">
      <c r="C170" s="3"/>
    </row>
    <row r="171" spans="3:3" x14ac:dyDescent="0.25">
      <c r="C171" s="3"/>
    </row>
    <row r="172" spans="3:3" x14ac:dyDescent="0.25">
      <c r="C172" s="3"/>
    </row>
    <row r="173" spans="3:3" x14ac:dyDescent="0.25">
      <c r="C173" s="3"/>
    </row>
    <row r="174" spans="3:3" x14ac:dyDescent="0.25">
      <c r="C174" s="3"/>
    </row>
    <row r="175" spans="3:3" x14ac:dyDescent="0.25">
      <c r="C175" s="3"/>
    </row>
    <row r="176" spans="3:3" x14ac:dyDescent="0.25">
      <c r="C176" s="3"/>
    </row>
    <row r="177" spans="3:3" x14ac:dyDescent="0.25">
      <c r="C177" s="3"/>
    </row>
    <row r="178" spans="3:3" x14ac:dyDescent="0.25">
      <c r="C178" s="3"/>
    </row>
    <row r="179" spans="3:3" x14ac:dyDescent="0.25">
      <c r="C179" s="3"/>
    </row>
    <row r="180" spans="3:3" x14ac:dyDescent="0.25">
      <c r="C180" s="3"/>
    </row>
    <row r="181" spans="3:3" x14ac:dyDescent="0.25">
      <c r="C181" s="3"/>
    </row>
    <row r="182" spans="3:3" x14ac:dyDescent="0.25">
      <c r="C182" s="3"/>
    </row>
    <row r="183" spans="3:3" x14ac:dyDescent="0.25">
      <c r="C183" s="3"/>
    </row>
    <row r="184" spans="3:3" x14ac:dyDescent="0.25">
      <c r="C184" s="3"/>
    </row>
    <row r="185" spans="3:3" x14ac:dyDescent="0.25">
      <c r="C185" s="3"/>
    </row>
    <row r="186" spans="3:3" x14ac:dyDescent="0.25">
      <c r="C186" s="3"/>
    </row>
    <row r="187" spans="3:3" x14ac:dyDescent="0.25">
      <c r="C187" s="3"/>
    </row>
    <row r="188" spans="3:3" x14ac:dyDescent="0.25">
      <c r="C188" s="3"/>
    </row>
    <row r="189" spans="3:3" x14ac:dyDescent="0.25">
      <c r="C189" s="3"/>
    </row>
    <row r="190" spans="3:3" x14ac:dyDescent="0.25">
      <c r="C190" s="3"/>
    </row>
    <row r="191" spans="3:3" x14ac:dyDescent="0.25">
      <c r="C191" s="3"/>
    </row>
    <row r="192" spans="3:3" x14ac:dyDescent="0.25">
      <c r="C192" s="3"/>
    </row>
    <row r="193" spans="3:3" x14ac:dyDescent="0.25">
      <c r="C193" s="3"/>
    </row>
    <row r="194" spans="3:3" x14ac:dyDescent="0.25">
      <c r="C194" s="3"/>
    </row>
    <row r="195" spans="3:3" x14ac:dyDescent="0.25">
      <c r="C195" s="3"/>
    </row>
    <row r="196" spans="3:3" x14ac:dyDescent="0.25">
      <c r="C196" s="3"/>
    </row>
    <row r="197" spans="3:3" x14ac:dyDescent="0.25">
      <c r="C197" s="3"/>
    </row>
    <row r="198" spans="3:3" x14ac:dyDescent="0.25">
      <c r="C198" s="3"/>
    </row>
    <row r="199" spans="3:3" x14ac:dyDescent="0.25">
      <c r="C199" s="3"/>
    </row>
    <row r="200" spans="3:3" x14ac:dyDescent="0.25">
      <c r="C200" s="3"/>
    </row>
    <row r="201" spans="3:3" x14ac:dyDescent="0.25">
      <c r="C201" s="3"/>
    </row>
    <row r="202" spans="3:3" x14ac:dyDescent="0.25">
      <c r="C202" s="3"/>
    </row>
    <row r="203" spans="3:3" x14ac:dyDescent="0.25">
      <c r="C203" s="3"/>
    </row>
    <row r="204" spans="3:3" x14ac:dyDescent="0.25">
      <c r="C204" s="3"/>
    </row>
    <row r="205" spans="3:3" x14ac:dyDescent="0.25">
      <c r="C205" s="3"/>
    </row>
    <row r="206" spans="3:3" x14ac:dyDescent="0.25">
      <c r="C206" s="3"/>
    </row>
    <row r="207" spans="3:3" x14ac:dyDescent="0.25">
      <c r="C207" s="3"/>
    </row>
    <row r="208" spans="3:3" x14ac:dyDescent="0.25">
      <c r="C208" s="3"/>
    </row>
    <row r="209" spans="3:3" x14ac:dyDescent="0.25">
      <c r="C209" s="3"/>
    </row>
    <row r="210" spans="3:3" x14ac:dyDescent="0.25">
      <c r="C210" s="3"/>
    </row>
    <row r="211" spans="3:3" x14ac:dyDescent="0.25">
      <c r="C211" s="3"/>
    </row>
    <row r="212" spans="3:3" x14ac:dyDescent="0.25">
      <c r="C212" s="3"/>
    </row>
    <row r="213" spans="3:3" x14ac:dyDescent="0.25">
      <c r="C213" s="3"/>
    </row>
    <row r="214" spans="3:3" x14ac:dyDescent="0.25">
      <c r="C214" s="3"/>
    </row>
    <row r="215" spans="3:3" x14ac:dyDescent="0.25">
      <c r="C215" s="3"/>
    </row>
    <row r="216" spans="3:3" x14ac:dyDescent="0.25">
      <c r="C216" s="3"/>
    </row>
    <row r="217" spans="3:3" x14ac:dyDescent="0.25">
      <c r="C217" s="3"/>
    </row>
    <row r="218" spans="3:3" x14ac:dyDescent="0.25">
      <c r="C218" s="3"/>
    </row>
    <row r="219" spans="3:3" x14ac:dyDescent="0.25">
      <c r="C219" s="3"/>
    </row>
    <row r="220" spans="3:3" x14ac:dyDescent="0.25">
      <c r="C220" s="3"/>
    </row>
    <row r="221" spans="3:3" x14ac:dyDescent="0.25">
      <c r="C221" s="3"/>
    </row>
    <row r="222" spans="3:3" x14ac:dyDescent="0.25">
      <c r="C222" s="3"/>
    </row>
    <row r="223" spans="3:3" x14ac:dyDescent="0.25">
      <c r="C223" s="3"/>
    </row>
    <row r="224" spans="3:3" x14ac:dyDescent="0.25">
      <c r="C224" s="3"/>
    </row>
    <row r="225" spans="3:3" x14ac:dyDescent="0.25">
      <c r="C225" s="3"/>
    </row>
    <row r="226" spans="3:3" x14ac:dyDescent="0.25">
      <c r="C226" s="3"/>
    </row>
    <row r="227" spans="3:3" x14ac:dyDescent="0.25">
      <c r="C227" s="3"/>
    </row>
    <row r="228" spans="3:3" x14ac:dyDescent="0.25">
      <c r="C228" s="3"/>
    </row>
    <row r="229" spans="3:3" x14ac:dyDescent="0.25">
      <c r="C229" s="3"/>
    </row>
    <row r="230" spans="3:3" x14ac:dyDescent="0.25">
      <c r="C230" s="3"/>
    </row>
    <row r="231" spans="3:3" x14ac:dyDescent="0.25">
      <c r="C231" s="3"/>
    </row>
    <row r="232" spans="3:3" x14ac:dyDescent="0.25">
      <c r="C232" s="3"/>
    </row>
    <row r="233" spans="3:3" x14ac:dyDescent="0.25">
      <c r="C233" s="3"/>
    </row>
    <row r="234" spans="3:3" x14ac:dyDescent="0.25">
      <c r="C234" s="3"/>
    </row>
    <row r="235" spans="3:3" x14ac:dyDescent="0.25">
      <c r="C235" s="3"/>
    </row>
    <row r="236" spans="3:3" x14ac:dyDescent="0.25">
      <c r="C236" s="3"/>
    </row>
    <row r="237" spans="3:3" x14ac:dyDescent="0.25">
      <c r="C237" s="3"/>
    </row>
    <row r="238" spans="3:3" x14ac:dyDescent="0.25">
      <c r="C238" s="3"/>
    </row>
    <row r="239" spans="3:3" x14ac:dyDescent="0.25">
      <c r="C239" s="3"/>
    </row>
    <row r="240" spans="3:3" x14ac:dyDescent="0.25">
      <c r="C240" s="3"/>
    </row>
    <row r="241" spans="3:3" x14ac:dyDescent="0.25">
      <c r="C241" s="3"/>
    </row>
    <row r="242" spans="3:3" x14ac:dyDescent="0.25">
      <c r="C242" s="3"/>
    </row>
    <row r="243" spans="3:3" x14ac:dyDescent="0.25">
      <c r="C243" s="3"/>
    </row>
    <row r="244" spans="3:3" x14ac:dyDescent="0.25">
      <c r="C244" s="3"/>
    </row>
    <row r="245" spans="3:3" x14ac:dyDescent="0.25">
      <c r="C245" s="3"/>
    </row>
    <row r="246" spans="3:3" x14ac:dyDescent="0.25">
      <c r="C246" s="3"/>
    </row>
    <row r="247" spans="3:3" x14ac:dyDescent="0.25">
      <c r="C247" s="3"/>
    </row>
    <row r="248" spans="3:3" x14ac:dyDescent="0.25">
      <c r="C248" s="3"/>
    </row>
    <row r="249" spans="3:3" x14ac:dyDescent="0.25">
      <c r="C249" s="3"/>
    </row>
    <row r="250" spans="3:3" x14ac:dyDescent="0.25">
      <c r="C250" s="3"/>
    </row>
    <row r="251" spans="3:3" x14ac:dyDescent="0.25">
      <c r="C251" s="3"/>
    </row>
    <row r="252" spans="3:3" x14ac:dyDescent="0.25">
      <c r="C252" s="3"/>
    </row>
    <row r="253" spans="3:3" x14ac:dyDescent="0.25">
      <c r="C253" s="3"/>
    </row>
    <row r="254" spans="3:3" x14ac:dyDescent="0.25">
      <c r="C254" s="3"/>
    </row>
    <row r="255" spans="3:3" x14ac:dyDescent="0.25">
      <c r="C255" s="3"/>
    </row>
    <row r="256" spans="3:3" x14ac:dyDescent="0.25">
      <c r="C256" s="3"/>
    </row>
    <row r="257" spans="3:3" x14ac:dyDescent="0.25">
      <c r="C257" s="3"/>
    </row>
    <row r="258" spans="3:3" x14ac:dyDescent="0.25">
      <c r="C258" s="3"/>
    </row>
    <row r="259" spans="3:3" x14ac:dyDescent="0.25">
      <c r="C259" s="3"/>
    </row>
    <row r="260" spans="3:3" x14ac:dyDescent="0.25">
      <c r="C260" s="3"/>
    </row>
    <row r="261" spans="3:3" x14ac:dyDescent="0.25">
      <c r="C261" s="3"/>
    </row>
    <row r="262" spans="3:3" x14ac:dyDescent="0.25">
      <c r="C262" s="3"/>
    </row>
    <row r="263" spans="3:3" x14ac:dyDescent="0.25">
      <c r="C263" s="3"/>
    </row>
    <row r="264" spans="3:3" x14ac:dyDescent="0.25">
      <c r="C264" s="3"/>
    </row>
    <row r="265" spans="3:3" x14ac:dyDescent="0.25">
      <c r="C265" s="3"/>
    </row>
    <row r="266" spans="3:3" x14ac:dyDescent="0.25">
      <c r="C266" s="3"/>
    </row>
    <row r="267" spans="3:3" x14ac:dyDescent="0.25">
      <c r="C267" s="3"/>
    </row>
    <row r="268" spans="3:3" x14ac:dyDescent="0.25">
      <c r="C268" s="3"/>
    </row>
    <row r="269" spans="3:3" x14ac:dyDescent="0.25">
      <c r="C269" s="3"/>
    </row>
    <row r="270" spans="3:3" x14ac:dyDescent="0.25">
      <c r="C270" s="3"/>
    </row>
    <row r="271" spans="3:3" x14ac:dyDescent="0.25">
      <c r="C271" s="3"/>
    </row>
    <row r="272" spans="3:3" x14ac:dyDescent="0.25">
      <c r="C272" s="3"/>
    </row>
    <row r="273" spans="3:3" x14ac:dyDescent="0.25">
      <c r="C273" s="3"/>
    </row>
    <row r="274" spans="3:3" x14ac:dyDescent="0.25">
      <c r="C274" s="3"/>
    </row>
    <row r="275" spans="3:3" x14ac:dyDescent="0.25">
      <c r="C275" s="3"/>
    </row>
    <row r="276" spans="3:3" x14ac:dyDescent="0.25">
      <c r="C276" s="3"/>
    </row>
    <row r="277" spans="3:3" x14ac:dyDescent="0.25">
      <c r="C277" s="3"/>
    </row>
    <row r="278" spans="3:3" x14ac:dyDescent="0.25">
      <c r="C278" s="3"/>
    </row>
    <row r="279" spans="3:3" x14ac:dyDescent="0.25">
      <c r="C279" s="3"/>
    </row>
    <row r="280" spans="3:3" x14ac:dyDescent="0.25">
      <c r="C280" s="3"/>
    </row>
    <row r="281" spans="3:3" x14ac:dyDescent="0.25">
      <c r="C281" s="3"/>
    </row>
    <row r="282" spans="3:3" x14ac:dyDescent="0.25">
      <c r="C282" s="3"/>
    </row>
    <row r="283" spans="3:3" x14ac:dyDescent="0.25">
      <c r="C283" s="3"/>
    </row>
    <row r="284" spans="3:3" x14ac:dyDescent="0.25">
      <c r="C284" s="3"/>
    </row>
    <row r="285" spans="3:3" x14ac:dyDescent="0.25">
      <c r="C285" s="3"/>
    </row>
    <row r="286" spans="3:3" x14ac:dyDescent="0.25">
      <c r="C286" s="3"/>
    </row>
    <row r="287" spans="3:3" x14ac:dyDescent="0.25">
      <c r="C287" s="3"/>
    </row>
    <row r="288" spans="3:3" x14ac:dyDescent="0.25">
      <c r="C288" s="3"/>
    </row>
    <row r="289" spans="3:3" x14ac:dyDescent="0.25">
      <c r="C289" s="3"/>
    </row>
    <row r="290" spans="3:3" x14ac:dyDescent="0.25">
      <c r="C290" s="3"/>
    </row>
    <row r="291" spans="3:3" x14ac:dyDescent="0.25">
      <c r="C291" s="3"/>
    </row>
    <row r="292" spans="3:3" x14ac:dyDescent="0.25">
      <c r="C292" s="3"/>
    </row>
    <row r="293" spans="3:3" x14ac:dyDescent="0.25">
      <c r="C293" s="3"/>
    </row>
    <row r="294" spans="3:3" x14ac:dyDescent="0.25">
      <c r="C294" s="3"/>
    </row>
    <row r="295" spans="3:3" x14ac:dyDescent="0.25">
      <c r="C295" s="3"/>
    </row>
    <row r="296" spans="3:3" x14ac:dyDescent="0.25">
      <c r="C296" s="3"/>
    </row>
    <row r="297" spans="3:3" x14ac:dyDescent="0.25">
      <c r="C297" s="3"/>
    </row>
    <row r="298" spans="3:3" x14ac:dyDescent="0.25">
      <c r="C298" s="3"/>
    </row>
    <row r="299" spans="3:3" x14ac:dyDescent="0.25">
      <c r="C299" s="3"/>
    </row>
    <row r="300" spans="3:3" x14ac:dyDescent="0.25">
      <c r="C300" s="3"/>
    </row>
    <row r="301" spans="3:3" x14ac:dyDescent="0.25">
      <c r="C301" s="3"/>
    </row>
    <row r="302" spans="3:3" x14ac:dyDescent="0.25">
      <c r="C302" s="3"/>
    </row>
    <row r="303" spans="3:3" x14ac:dyDescent="0.25">
      <c r="C303" s="3"/>
    </row>
    <row r="304" spans="3:3" x14ac:dyDescent="0.25">
      <c r="C304" s="3"/>
    </row>
    <row r="305" spans="3:3" x14ac:dyDescent="0.25">
      <c r="C305" s="3"/>
    </row>
    <row r="306" spans="3:3" x14ac:dyDescent="0.25">
      <c r="C306" s="3"/>
    </row>
    <row r="307" spans="3:3" x14ac:dyDescent="0.25">
      <c r="C307" s="3"/>
    </row>
    <row r="308" spans="3:3" x14ac:dyDescent="0.25">
      <c r="C308" s="3"/>
    </row>
    <row r="309" spans="3:3" x14ac:dyDescent="0.25">
      <c r="C309" s="3"/>
    </row>
    <row r="310" spans="3:3" x14ac:dyDescent="0.25">
      <c r="C310" s="3"/>
    </row>
    <row r="311" spans="3:3" x14ac:dyDescent="0.25">
      <c r="C311" s="3"/>
    </row>
    <row r="312" spans="3:3" x14ac:dyDescent="0.25">
      <c r="C312" s="3"/>
    </row>
    <row r="313" spans="3:3" x14ac:dyDescent="0.25">
      <c r="C313" s="3"/>
    </row>
    <row r="314" spans="3:3" x14ac:dyDescent="0.25">
      <c r="C314" s="3"/>
    </row>
    <row r="315" spans="3:3" x14ac:dyDescent="0.25">
      <c r="C315" s="3"/>
    </row>
    <row r="316" spans="3:3" x14ac:dyDescent="0.25">
      <c r="C316" s="3"/>
    </row>
    <row r="317" spans="3:3" x14ac:dyDescent="0.25">
      <c r="C317" s="3"/>
    </row>
    <row r="318" spans="3:3" x14ac:dyDescent="0.25">
      <c r="C318" s="3"/>
    </row>
    <row r="319" spans="3:3" x14ac:dyDescent="0.25">
      <c r="C319" s="3"/>
    </row>
    <row r="320" spans="3:3" x14ac:dyDescent="0.25">
      <c r="C320" s="3"/>
    </row>
    <row r="321" spans="3:3" x14ac:dyDescent="0.25">
      <c r="C321" s="3"/>
    </row>
    <row r="322" spans="3:3" x14ac:dyDescent="0.25">
      <c r="C322" s="3"/>
    </row>
    <row r="323" spans="3:3" x14ac:dyDescent="0.25">
      <c r="C323" s="3"/>
    </row>
    <row r="324" spans="3:3" x14ac:dyDescent="0.25">
      <c r="C324" s="3"/>
    </row>
    <row r="325" spans="3:3" x14ac:dyDescent="0.25">
      <c r="C325" s="3"/>
    </row>
    <row r="326" spans="3:3" x14ac:dyDescent="0.25">
      <c r="C326" s="3"/>
    </row>
  </sheetData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6C25E-D4C5-4DB5-AB5D-65E9BAB175D6}">
  <dimension ref="A1:S64"/>
  <sheetViews>
    <sheetView topLeftCell="B1" zoomScale="90" zoomScaleNormal="90" workbookViewId="0">
      <selection activeCell="K33" sqref="K33"/>
    </sheetView>
  </sheetViews>
  <sheetFormatPr defaultRowHeight="15" x14ac:dyDescent="0.25"/>
  <cols>
    <col min="1" max="1" width="29.42578125" bestFit="1" customWidth="1"/>
    <col min="2" max="2" width="16.140625" customWidth="1"/>
    <col min="3" max="3" width="12.7109375" customWidth="1"/>
    <col min="4" max="4" width="12.85546875" customWidth="1"/>
    <col min="5" max="5" width="11.85546875" customWidth="1"/>
    <col min="6" max="6" width="10" customWidth="1"/>
    <col min="8" max="8" width="18.28515625" bestFit="1" customWidth="1"/>
    <col min="9" max="9" width="19.42578125" bestFit="1" customWidth="1"/>
    <col min="10" max="10" width="17.28515625" bestFit="1" customWidth="1"/>
    <col min="11" max="11" width="17.5703125" bestFit="1" customWidth="1"/>
    <col min="12" max="12" width="19.5703125" bestFit="1" customWidth="1"/>
    <col min="13" max="13" width="17.42578125" bestFit="1" customWidth="1"/>
    <col min="14" max="14" width="17.7109375" bestFit="1" customWidth="1"/>
    <col min="15" max="15" width="18.85546875" bestFit="1" customWidth="1"/>
    <col min="16" max="16" width="16.85546875" bestFit="1" customWidth="1"/>
    <col min="17" max="17" width="16.5703125" bestFit="1" customWidth="1"/>
    <col min="18" max="18" width="25.5703125" bestFit="1" customWidth="1"/>
    <col min="19" max="19" width="17.42578125" bestFit="1" customWidth="1"/>
  </cols>
  <sheetData>
    <row r="1" spans="1:19" x14ac:dyDescent="0.25">
      <c r="A1" s="20" t="s">
        <v>167</v>
      </c>
      <c r="B1" s="20" t="s">
        <v>153</v>
      </c>
      <c r="C1" s="20" t="s">
        <v>109</v>
      </c>
      <c r="D1" s="20" t="s">
        <v>110</v>
      </c>
      <c r="E1" s="20" t="s">
        <v>111</v>
      </c>
      <c r="F1" s="37" t="s">
        <v>130</v>
      </c>
    </row>
    <row r="2" spans="1:19" x14ac:dyDescent="0.25">
      <c r="A2" t="s">
        <v>113</v>
      </c>
      <c r="B2" t="s">
        <v>154</v>
      </c>
      <c r="C2" s="43">
        <v>369.2</v>
      </c>
      <c r="D2" s="43">
        <v>366.2</v>
      </c>
      <c r="E2" s="43">
        <v>400</v>
      </c>
      <c r="F2" s="43"/>
      <c r="H2" s="10" t="s">
        <v>78</v>
      </c>
      <c r="I2" t="s">
        <v>183</v>
      </c>
      <c r="J2" t="s">
        <v>184</v>
      </c>
      <c r="K2" t="s">
        <v>185</v>
      </c>
      <c r="L2" t="s">
        <v>186</v>
      </c>
      <c r="M2" t="s">
        <v>188</v>
      </c>
      <c r="N2" t="s">
        <v>187</v>
      </c>
      <c r="O2" t="s">
        <v>189</v>
      </c>
      <c r="P2" t="s">
        <v>190</v>
      </c>
      <c r="Q2" t="s">
        <v>191</v>
      </c>
      <c r="R2" t="s">
        <v>217</v>
      </c>
      <c r="S2" t="s">
        <v>192</v>
      </c>
    </row>
    <row r="3" spans="1:19" x14ac:dyDescent="0.25">
      <c r="A3" t="s">
        <v>114</v>
      </c>
      <c r="B3" t="s">
        <v>154</v>
      </c>
      <c r="C3" s="43">
        <v>315.7</v>
      </c>
      <c r="D3" s="43">
        <v>299.8</v>
      </c>
      <c r="E3" s="43">
        <v>325</v>
      </c>
      <c r="F3" s="43"/>
      <c r="H3" s="11" t="s">
        <v>195</v>
      </c>
      <c r="I3" s="42">
        <v>280</v>
      </c>
      <c r="J3" s="42">
        <v>240</v>
      </c>
      <c r="K3" s="42">
        <v>320</v>
      </c>
      <c r="L3" s="42">
        <v>262.37333333333328</v>
      </c>
      <c r="M3" s="42">
        <v>220.32</v>
      </c>
      <c r="N3" s="42">
        <v>300.79999999999995</v>
      </c>
      <c r="O3" s="42">
        <v>308.79633333333328</v>
      </c>
      <c r="P3" s="42">
        <v>323.98899999999998</v>
      </c>
      <c r="Q3" s="42">
        <v>286.2</v>
      </c>
      <c r="R3" s="42">
        <v>19.952765230246715</v>
      </c>
      <c r="S3" s="42">
        <v>14</v>
      </c>
    </row>
    <row r="4" spans="1:19" x14ac:dyDescent="0.25">
      <c r="A4" t="s">
        <v>115</v>
      </c>
      <c r="B4" t="s">
        <v>154</v>
      </c>
      <c r="C4" s="43">
        <v>306.60000000000002</v>
      </c>
      <c r="D4" s="43">
        <v>289.3</v>
      </c>
      <c r="E4" s="43">
        <v>310</v>
      </c>
      <c r="F4" s="43"/>
      <c r="H4" s="11" t="s">
        <v>158</v>
      </c>
      <c r="I4" s="42">
        <v>458.05</v>
      </c>
      <c r="J4" s="42">
        <v>280</v>
      </c>
      <c r="K4" s="42">
        <v>681</v>
      </c>
      <c r="L4" s="42">
        <v>335.45</v>
      </c>
      <c r="M4" s="42">
        <v>210</v>
      </c>
      <c r="N4" s="42">
        <v>483</v>
      </c>
      <c r="O4" s="42">
        <v>294.36180555555558</v>
      </c>
      <c r="P4" s="42">
        <v>375</v>
      </c>
      <c r="Q4" s="42">
        <v>185.7</v>
      </c>
      <c r="R4" s="42">
        <v>60.694290576790912</v>
      </c>
      <c r="S4" s="42">
        <v>26.166666666666668</v>
      </c>
    </row>
    <row r="5" spans="1:19" x14ac:dyDescent="0.25">
      <c r="A5" t="s">
        <v>115</v>
      </c>
      <c r="B5" t="s">
        <v>154</v>
      </c>
      <c r="C5" s="43">
        <v>306.60000000000002</v>
      </c>
      <c r="D5" s="43">
        <v>289.3</v>
      </c>
      <c r="E5" s="43">
        <v>310</v>
      </c>
      <c r="F5" s="43"/>
      <c r="H5" s="11" t="s">
        <v>74</v>
      </c>
      <c r="I5" s="42">
        <v>242.5</v>
      </c>
      <c r="J5" s="42">
        <v>220</v>
      </c>
      <c r="K5" s="42">
        <v>250</v>
      </c>
      <c r="L5" s="42">
        <v>192.9</v>
      </c>
      <c r="M5" s="42">
        <v>171.6</v>
      </c>
      <c r="N5" s="42">
        <v>200</v>
      </c>
      <c r="O5" s="42">
        <v>182.1875</v>
      </c>
      <c r="P5" s="42">
        <v>209.00000000000003</v>
      </c>
      <c r="Q5" s="42">
        <v>165</v>
      </c>
      <c r="R5" s="42">
        <v>21.345740207357533</v>
      </c>
      <c r="S5" s="42">
        <v>4.3999999999999995</v>
      </c>
    </row>
    <row r="6" spans="1:19" x14ac:dyDescent="0.25">
      <c r="A6" t="s">
        <v>114</v>
      </c>
      <c r="B6" t="s">
        <v>154</v>
      </c>
      <c r="C6" s="43">
        <v>334.6</v>
      </c>
      <c r="D6" s="43">
        <v>321</v>
      </c>
      <c r="E6" s="43">
        <v>370</v>
      </c>
      <c r="F6" s="43"/>
      <c r="H6" s="11" t="s">
        <v>157</v>
      </c>
      <c r="I6" s="42">
        <v>71.841000000000008</v>
      </c>
      <c r="J6" s="42">
        <v>13.11</v>
      </c>
      <c r="K6" s="42">
        <v>145.30000000000001</v>
      </c>
      <c r="L6" s="42">
        <v>59.841999999999999</v>
      </c>
      <c r="M6" s="42">
        <v>5.62</v>
      </c>
      <c r="N6" s="42">
        <v>124.1</v>
      </c>
      <c r="O6" s="42">
        <v>231.35999999999999</v>
      </c>
      <c r="P6" s="42">
        <v>320</v>
      </c>
      <c r="Q6" s="42">
        <v>181.5</v>
      </c>
      <c r="R6" s="42">
        <v>39.959651872579784</v>
      </c>
      <c r="S6" s="42">
        <v>3.2</v>
      </c>
    </row>
    <row r="7" spans="1:19" x14ac:dyDescent="0.25">
      <c r="A7" t="s">
        <v>115</v>
      </c>
      <c r="B7" t="s">
        <v>154</v>
      </c>
      <c r="C7" s="43">
        <v>371.6</v>
      </c>
      <c r="D7" s="43">
        <v>319.2</v>
      </c>
      <c r="E7" s="43">
        <v>350</v>
      </c>
      <c r="F7" s="43"/>
      <c r="H7" s="11" t="s">
        <v>154</v>
      </c>
      <c r="I7" s="42">
        <v>325.25454545454545</v>
      </c>
      <c r="J7" s="42">
        <v>220</v>
      </c>
      <c r="K7" s="42">
        <v>371.6</v>
      </c>
      <c r="L7" s="42">
        <v>307.98363636363638</v>
      </c>
      <c r="M7" s="42">
        <v>208.11999999999998</v>
      </c>
      <c r="N7" s="42">
        <v>366.2</v>
      </c>
      <c r="O7" s="42">
        <v>343.74585454545456</v>
      </c>
      <c r="P7" s="42">
        <v>400</v>
      </c>
      <c r="Q7" s="42">
        <v>295.06440000000003</v>
      </c>
      <c r="R7" s="42">
        <v>32.553171978053363</v>
      </c>
      <c r="S7" s="42">
        <v>3.74</v>
      </c>
    </row>
    <row r="8" spans="1:19" x14ac:dyDescent="0.25">
      <c r="A8" t="s">
        <v>1</v>
      </c>
      <c r="B8" t="s">
        <v>154</v>
      </c>
      <c r="C8" s="43">
        <v>332.2</v>
      </c>
      <c r="D8" s="43">
        <v>319.7</v>
      </c>
      <c r="E8" s="43">
        <v>330</v>
      </c>
      <c r="F8" s="43"/>
      <c r="H8" s="11" t="s">
        <v>75</v>
      </c>
      <c r="I8" s="42">
        <v>51.279999999999994</v>
      </c>
      <c r="J8" s="42">
        <v>35</v>
      </c>
      <c r="K8" s="42">
        <v>68.2</v>
      </c>
      <c r="L8" s="42">
        <v>39.56</v>
      </c>
      <c r="M8" s="42">
        <v>28</v>
      </c>
      <c r="N8" s="42">
        <v>48.9</v>
      </c>
      <c r="O8" s="42">
        <v>202.32</v>
      </c>
      <c r="P8" s="42">
        <v>252.3</v>
      </c>
      <c r="Q8" s="42">
        <v>125</v>
      </c>
      <c r="R8" s="42">
        <v>68.323985539486799</v>
      </c>
      <c r="S8" s="42">
        <v>3.2</v>
      </c>
    </row>
    <row r="9" spans="1:19" x14ac:dyDescent="0.25">
      <c r="A9" t="s">
        <v>139</v>
      </c>
      <c r="B9" t="s">
        <v>154</v>
      </c>
      <c r="C9" s="43">
        <v>331.3</v>
      </c>
      <c r="D9" s="43">
        <v>320.3</v>
      </c>
      <c r="E9" s="43">
        <v>367</v>
      </c>
      <c r="F9" s="43"/>
      <c r="H9" s="11" t="s">
        <v>182</v>
      </c>
      <c r="I9" s="42">
        <v>258.51249999999999</v>
      </c>
      <c r="J9" s="42">
        <v>182.9</v>
      </c>
      <c r="K9" s="42">
        <v>320</v>
      </c>
      <c r="L9" s="42">
        <v>238.70000000000002</v>
      </c>
      <c r="M9" s="42">
        <v>169.3</v>
      </c>
      <c r="N9" s="42">
        <v>300.79999999999995</v>
      </c>
      <c r="O9" s="42">
        <v>280.4325</v>
      </c>
      <c r="P9" s="42">
        <v>372.96000000000004</v>
      </c>
      <c r="Q9" s="42">
        <v>152</v>
      </c>
      <c r="R9" s="42">
        <v>72.729749415215153</v>
      </c>
      <c r="S9" s="42">
        <v>4.1946666666666665</v>
      </c>
    </row>
    <row r="10" spans="1:19" x14ac:dyDescent="0.25">
      <c r="A10" t="s">
        <v>126</v>
      </c>
      <c r="B10" t="s">
        <v>154</v>
      </c>
      <c r="C10" s="43">
        <v>350</v>
      </c>
      <c r="D10" s="43">
        <v>335.3</v>
      </c>
      <c r="E10" s="43">
        <v>349.74</v>
      </c>
      <c r="F10" s="43"/>
      <c r="H10" s="11" t="s">
        <v>165</v>
      </c>
      <c r="I10" s="42">
        <v>281.25</v>
      </c>
      <c r="J10" s="42">
        <v>275</v>
      </c>
      <c r="K10" s="42">
        <v>286</v>
      </c>
      <c r="L10" s="42">
        <v>272.25</v>
      </c>
      <c r="M10" s="42">
        <v>266.2</v>
      </c>
      <c r="N10" s="42">
        <v>276.84800000000001</v>
      </c>
      <c r="O10" s="42">
        <v>191.375</v>
      </c>
      <c r="P10" s="42">
        <v>223</v>
      </c>
      <c r="Q10" s="42">
        <v>170</v>
      </c>
      <c r="R10" s="42">
        <v>23.004981344627659</v>
      </c>
      <c r="S10" s="42"/>
    </row>
    <row r="11" spans="1:19" x14ac:dyDescent="0.25">
      <c r="A11" t="s">
        <v>127</v>
      </c>
      <c r="B11" t="s">
        <v>154</v>
      </c>
      <c r="C11" s="43">
        <v>340</v>
      </c>
      <c r="D11" s="43">
        <v>319.59999999999997</v>
      </c>
      <c r="E11" s="43">
        <v>374.40000000000003</v>
      </c>
      <c r="F11" s="43">
        <v>3.74</v>
      </c>
      <c r="H11" s="11" t="s">
        <v>166</v>
      </c>
      <c r="I11" s="42">
        <v>300</v>
      </c>
      <c r="J11" s="42">
        <v>280</v>
      </c>
      <c r="K11" s="42">
        <v>320</v>
      </c>
      <c r="L11" s="42">
        <v>283.45</v>
      </c>
      <c r="M11" s="42">
        <v>266</v>
      </c>
      <c r="N11" s="42">
        <v>300.79999999999995</v>
      </c>
      <c r="O11" s="42">
        <v>288.5</v>
      </c>
      <c r="P11" s="42">
        <v>351</v>
      </c>
      <c r="Q11" s="42">
        <v>238</v>
      </c>
      <c r="R11" s="42">
        <v>48.788659884581101</v>
      </c>
      <c r="S11" s="42">
        <v>3.9200000000000004</v>
      </c>
    </row>
    <row r="12" spans="1:19" x14ac:dyDescent="0.25">
      <c r="A12" t="s">
        <v>128</v>
      </c>
      <c r="B12" t="s">
        <v>154</v>
      </c>
      <c r="C12" s="43">
        <v>220</v>
      </c>
      <c r="D12" s="43">
        <v>208.11999999999998</v>
      </c>
      <c r="E12" s="43">
        <v>295.06440000000003</v>
      </c>
      <c r="F12" s="43"/>
      <c r="H12" s="11" t="s">
        <v>181</v>
      </c>
      <c r="I12" s="42">
        <v>884.5</v>
      </c>
      <c r="J12" s="42">
        <v>870</v>
      </c>
      <c r="K12" s="42">
        <v>900</v>
      </c>
      <c r="L12" s="42">
        <v>832.97899999999993</v>
      </c>
      <c r="M12" s="42">
        <v>769.85</v>
      </c>
      <c r="N12" s="42">
        <v>873</v>
      </c>
      <c r="O12" s="42">
        <v>331.88416666666672</v>
      </c>
      <c r="P12" s="42">
        <v>367.1</v>
      </c>
      <c r="Q12" s="42">
        <v>304.2</v>
      </c>
      <c r="R12" s="42">
        <v>23.972461370636406</v>
      </c>
      <c r="S12" s="42">
        <v>22.271999999999998</v>
      </c>
    </row>
    <row r="13" spans="1:19" x14ac:dyDescent="0.25">
      <c r="A13" t="s">
        <v>140</v>
      </c>
      <c r="B13" t="s">
        <v>181</v>
      </c>
      <c r="C13" s="43">
        <v>879</v>
      </c>
      <c r="D13" s="43">
        <v>823</v>
      </c>
      <c r="E13" s="43">
        <v>367.1</v>
      </c>
      <c r="F13" s="43"/>
      <c r="H13" s="11" t="s">
        <v>79</v>
      </c>
      <c r="I13" s="42">
        <v>313.12873015873015</v>
      </c>
      <c r="J13" s="42">
        <v>13.11</v>
      </c>
      <c r="K13" s="42">
        <v>900</v>
      </c>
      <c r="L13" s="42">
        <v>278.67673015873015</v>
      </c>
      <c r="M13" s="42">
        <v>5.62</v>
      </c>
      <c r="N13" s="42">
        <v>873</v>
      </c>
      <c r="O13" s="42">
        <v>274.138140388007</v>
      </c>
      <c r="P13" s="42">
        <v>400</v>
      </c>
      <c r="Q13" s="42">
        <v>125</v>
      </c>
      <c r="R13" s="42">
        <v>70.350520660114682</v>
      </c>
      <c r="S13" s="42">
        <v>10.695428571428574</v>
      </c>
    </row>
    <row r="14" spans="1:19" x14ac:dyDescent="0.25">
      <c r="A14" t="s">
        <v>141</v>
      </c>
      <c r="B14" t="s">
        <v>181</v>
      </c>
      <c r="C14" s="43">
        <v>886</v>
      </c>
      <c r="D14" s="43">
        <v>831</v>
      </c>
      <c r="E14" s="43">
        <v>338</v>
      </c>
      <c r="F14" s="43"/>
    </row>
    <row r="15" spans="1:19" x14ac:dyDescent="0.25">
      <c r="A15" t="s">
        <v>112</v>
      </c>
      <c r="B15" t="s">
        <v>182</v>
      </c>
      <c r="C15" s="43">
        <v>253</v>
      </c>
      <c r="D15" s="43">
        <v>208.4</v>
      </c>
      <c r="E15" s="43">
        <v>300</v>
      </c>
      <c r="F15" s="43"/>
      <c r="I15" t="s">
        <v>196</v>
      </c>
      <c r="J15" t="s">
        <v>197</v>
      </c>
      <c r="K15" t="s">
        <v>198</v>
      </c>
      <c r="L15" t="s">
        <v>199</v>
      </c>
      <c r="M15" t="s">
        <v>200</v>
      </c>
      <c r="N15" t="s">
        <v>201</v>
      </c>
      <c r="O15" t="s">
        <v>203</v>
      </c>
      <c r="P15" t="s">
        <v>204</v>
      </c>
      <c r="Q15" t="s">
        <v>205</v>
      </c>
      <c r="R15" t="s">
        <v>202</v>
      </c>
    </row>
    <row r="16" spans="1:19" x14ac:dyDescent="0.25">
      <c r="A16" t="s">
        <v>112</v>
      </c>
      <c r="B16" t="s">
        <v>182</v>
      </c>
      <c r="C16" s="43">
        <v>202.2</v>
      </c>
      <c r="D16" s="43">
        <v>187.7</v>
      </c>
      <c r="E16" s="43">
        <v>152</v>
      </c>
      <c r="F16" s="43"/>
      <c r="H16" s="11" t="s">
        <v>195</v>
      </c>
      <c r="I16" s="42">
        <v>280</v>
      </c>
      <c r="J16" s="42">
        <v>240</v>
      </c>
      <c r="K16" s="42">
        <v>320</v>
      </c>
      <c r="L16" s="42">
        <v>262.37333333333328</v>
      </c>
      <c r="M16" s="42">
        <v>220.32</v>
      </c>
      <c r="N16" s="42">
        <v>300.79999999999995</v>
      </c>
      <c r="O16" s="42">
        <v>308.79633333333328</v>
      </c>
      <c r="P16" s="42">
        <v>323.98899999999998</v>
      </c>
      <c r="Q16" s="42">
        <v>286.2</v>
      </c>
      <c r="R16" s="42">
        <v>14</v>
      </c>
    </row>
    <row r="17" spans="1:18" x14ac:dyDescent="0.25">
      <c r="A17" t="s">
        <v>116</v>
      </c>
      <c r="B17" t="s">
        <v>182</v>
      </c>
      <c r="C17" s="43">
        <v>182.9</v>
      </c>
      <c r="D17" s="43">
        <v>169.3</v>
      </c>
      <c r="E17" s="43">
        <v>191</v>
      </c>
      <c r="F17" s="43"/>
      <c r="H17" s="11" t="s">
        <v>158</v>
      </c>
      <c r="I17" s="42">
        <v>458.05</v>
      </c>
      <c r="J17" s="42">
        <v>280</v>
      </c>
      <c r="K17" s="42">
        <v>681</v>
      </c>
      <c r="L17" s="42">
        <v>335.45</v>
      </c>
      <c r="M17" s="42">
        <v>210</v>
      </c>
      <c r="N17" s="42">
        <v>483</v>
      </c>
      <c r="O17" s="42">
        <v>294.36180555555558</v>
      </c>
      <c r="P17" s="42">
        <v>375</v>
      </c>
      <c r="Q17" s="42">
        <v>185.7</v>
      </c>
      <c r="R17" s="42">
        <v>26.166666666666668</v>
      </c>
    </row>
    <row r="18" spans="1:18" x14ac:dyDescent="0.25">
      <c r="A18" t="s">
        <v>142</v>
      </c>
      <c r="B18" t="s">
        <v>182</v>
      </c>
      <c r="C18" s="43">
        <v>250</v>
      </c>
      <c r="D18" s="43">
        <v>235</v>
      </c>
      <c r="E18" s="43">
        <v>286</v>
      </c>
      <c r="F18" s="43"/>
      <c r="H18" s="11" t="s">
        <v>74</v>
      </c>
      <c r="I18" s="42">
        <v>242.5</v>
      </c>
      <c r="J18" s="42">
        <v>220</v>
      </c>
      <c r="K18" s="42">
        <v>250</v>
      </c>
      <c r="L18" s="42">
        <v>192.9</v>
      </c>
      <c r="M18" s="42">
        <v>171.6</v>
      </c>
      <c r="N18" s="42">
        <v>200</v>
      </c>
      <c r="O18" s="42">
        <v>182.1875</v>
      </c>
      <c r="P18" s="42">
        <v>209.00000000000003</v>
      </c>
      <c r="Q18" s="42">
        <v>165</v>
      </c>
      <c r="R18" s="42">
        <v>4.3999999999999995</v>
      </c>
    </row>
    <row r="19" spans="1:18" x14ac:dyDescent="0.25">
      <c r="A19" t="s">
        <v>143</v>
      </c>
      <c r="B19" t="s">
        <v>182</v>
      </c>
      <c r="C19" s="43">
        <v>320</v>
      </c>
      <c r="D19" s="43">
        <v>300.79999999999995</v>
      </c>
      <c r="E19" s="43">
        <v>306</v>
      </c>
      <c r="F19" s="43">
        <v>4.5759999999999996</v>
      </c>
      <c r="H19" s="11" t="s">
        <v>157</v>
      </c>
      <c r="I19" s="42">
        <v>71.841000000000008</v>
      </c>
      <c r="J19" s="42">
        <v>13.11</v>
      </c>
      <c r="K19" s="42">
        <v>145.30000000000001</v>
      </c>
      <c r="L19" s="42">
        <v>59.841999999999999</v>
      </c>
      <c r="M19" s="42">
        <v>5.62</v>
      </c>
      <c r="N19" s="42">
        <v>124.1</v>
      </c>
      <c r="O19" s="42">
        <v>231.35999999999999</v>
      </c>
      <c r="P19" s="42">
        <v>320</v>
      </c>
      <c r="Q19" s="42">
        <v>181.5</v>
      </c>
      <c r="R19" s="1">
        <v>3.1</v>
      </c>
    </row>
    <row r="20" spans="1:18" x14ac:dyDescent="0.25">
      <c r="A20" t="s">
        <v>144</v>
      </c>
      <c r="B20" t="s">
        <v>182</v>
      </c>
      <c r="C20" s="43">
        <v>280</v>
      </c>
      <c r="D20" s="43">
        <v>263.2</v>
      </c>
      <c r="E20" s="43">
        <v>310</v>
      </c>
      <c r="F20" s="43">
        <v>4.0040000000000004</v>
      </c>
      <c r="H20" s="11" t="s">
        <v>154</v>
      </c>
      <c r="I20" s="42">
        <v>325.25454545454545</v>
      </c>
      <c r="J20" s="42">
        <v>220</v>
      </c>
      <c r="K20" s="42">
        <v>371.6</v>
      </c>
      <c r="L20" s="42">
        <v>307.98363636363638</v>
      </c>
      <c r="M20" s="42">
        <v>208.11999999999998</v>
      </c>
      <c r="N20" s="42">
        <v>366.2</v>
      </c>
      <c r="O20" s="42">
        <v>343.74585454545456</v>
      </c>
      <c r="P20" s="42">
        <v>400</v>
      </c>
      <c r="Q20" s="42">
        <v>295.06440000000003</v>
      </c>
      <c r="R20" s="1">
        <v>3.69</v>
      </c>
    </row>
    <row r="21" spans="1:18" x14ac:dyDescent="0.25">
      <c r="A21" t="s">
        <v>145</v>
      </c>
      <c r="B21" t="s">
        <v>182</v>
      </c>
      <c r="C21" s="43">
        <v>280</v>
      </c>
      <c r="D21" s="43">
        <v>263.2</v>
      </c>
      <c r="E21" s="43">
        <v>325.5</v>
      </c>
      <c r="F21" s="43">
        <v>4.0040000000000004</v>
      </c>
      <c r="H21" s="11" t="s">
        <v>75</v>
      </c>
      <c r="I21" s="42">
        <v>51.279999999999994</v>
      </c>
      <c r="J21" s="42">
        <v>35</v>
      </c>
      <c r="K21" s="42">
        <v>68.2</v>
      </c>
      <c r="L21" s="42">
        <v>39.56</v>
      </c>
      <c r="M21" s="42">
        <v>28</v>
      </c>
      <c r="N21" s="42">
        <v>48.9</v>
      </c>
      <c r="O21" s="42">
        <v>202.32</v>
      </c>
      <c r="P21" s="42">
        <v>252.3</v>
      </c>
      <c r="Q21" s="42">
        <v>125</v>
      </c>
      <c r="R21" s="42">
        <v>3.2</v>
      </c>
    </row>
    <row r="22" spans="1:18" x14ac:dyDescent="0.25">
      <c r="A22" t="s">
        <v>146</v>
      </c>
      <c r="B22" t="s">
        <v>182</v>
      </c>
      <c r="C22" s="43">
        <v>300</v>
      </c>
      <c r="D22" s="43">
        <v>282</v>
      </c>
      <c r="E22" s="43">
        <v>372.96000000000004</v>
      </c>
      <c r="F22" s="43"/>
      <c r="H22" s="11" t="s">
        <v>182</v>
      </c>
      <c r="I22" s="42">
        <v>258.51249999999999</v>
      </c>
      <c r="J22" s="42">
        <v>182.9</v>
      </c>
      <c r="K22" s="42">
        <v>320</v>
      </c>
      <c r="L22" s="42">
        <v>238.70000000000002</v>
      </c>
      <c r="M22" s="42">
        <v>169.3</v>
      </c>
      <c r="N22" s="42">
        <v>300.79999999999995</v>
      </c>
      <c r="O22" s="42">
        <v>280.4325</v>
      </c>
      <c r="P22" s="42">
        <v>372.96000000000004</v>
      </c>
      <c r="Q22" s="42">
        <v>152</v>
      </c>
      <c r="R22" s="42">
        <v>4.1946666666666665</v>
      </c>
    </row>
    <row r="23" spans="1:18" x14ac:dyDescent="0.25">
      <c r="A23" t="s">
        <v>147</v>
      </c>
      <c r="B23" t="s">
        <v>181</v>
      </c>
      <c r="C23" s="43">
        <v>870</v>
      </c>
      <c r="D23" s="43">
        <v>856.94999999999993</v>
      </c>
      <c r="E23" s="43">
        <v>331.50000000000006</v>
      </c>
      <c r="F23" s="43">
        <v>22.271999999999998</v>
      </c>
      <c r="H23" s="11" t="s">
        <v>165</v>
      </c>
      <c r="I23" s="42">
        <v>281.25</v>
      </c>
      <c r="J23" s="42">
        <v>275</v>
      </c>
      <c r="K23" s="42">
        <v>286</v>
      </c>
      <c r="L23" s="42">
        <v>272.25</v>
      </c>
      <c r="M23" s="42">
        <v>266.2</v>
      </c>
      <c r="N23" s="42">
        <v>276.84800000000001</v>
      </c>
      <c r="O23" s="42">
        <v>191.375</v>
      </c>
      <c r="P23" s="42">
        <v>223</v>
      </c>
      <c r="Q23" s="42">
        <v>170</v>
      </c>
      <c r="R23" s="42">
        <v>8</v>
      </c>
    </row>
    <row r="24" spans="1:18" x14ac:dyDescent="0.25">
      <c r="A24" t="s">
        <v>147</v>
      </c>
      <c r="B24" t="s">
        <v>181</v>
      </c>
      <c r="C24" s="43">
        <v>890</v>
      </c>
      <c r="D24" s="43">
        <v>769.85</v>
      </c>
      <c r="E24" s="43">
        <v>304.2</v>
      </c>
      <c r="F24" s="43"/>
      <c r="H24" s="11" t="s">
        <v>166</v>
      </c>
      <c r="I24" s="42">
        <v>300</v>
      </c>
      <c r="J24" s="42">
        <v>280</v>
      </c>
      <c r="K24" s="42">
        <v>320</v>
      </c>
      <c r="L24" s="42">
        <v>283.45</v>
      </c>
      <c r="M24" s="42">
        <v>266</v>
      </c>
      <c r="N24" s="42">
        <v>300.79999999999995</v>
      </c>
      <c r="O24" s="42">
        <v>288.5</v>
      </c>
      <c r="P24" s="42">
        <v>351</v>
      </c>
      <c r="Q24" s="42">
        <v>238</v>
      </c>
      <c r="R24" s="42">
        <v>3.9200000000000004</v>
      </c>
    </row>
    <row r="25" spans="1:18" x14ac:dyDescent="0.25">
      <c r="A25" t="s">
        <v>132</v>
      </c>
      <c r="B25" t="s">
        <v>181</v>
      </c>
      <c r="C25" s="43">
        <v>882</v>
      </c>
      <c r="D25" s="43">
        <v>844.07400000000007</v>
      </c>
      <c r="E25" s="43">
        <v>344.505</v>
      </c>
      <c r="F25" s="43"/>
      <c r="H25" s="11" t="s">
        <v>181</v>
      </c>
      <c r="I25" s="42">
        <v>884.5</v>
      </c>
      <c r="J25" s="42">
        <v>870</v>
      </c>
      <c r="K25" s="42">
        <v>900</v>
      </c>
      <c r="L25" s="42">
        <v>832.97899999999993</v>
      </c>
      <c r="M25" s="42">
        <v>769.85</v>
      </c>
      <c r="N25" s="42">
        <v>873</v>
      </c>
      <c r="O25" s="42">
        <v>331.88416666666672</v>
      </c>
      <c r="P25" s="42">
        <v>367.1</v>
      </c>
      <c r="Q25" s="42">
        <v>304.2</v>
      </c>
      <c r="R25" s="42">
        <v>22.271999999999998</v>
      </c>
    </row>
    <row r="26" spans="1:18" x14ac:dyDescent="0.25">
      <c r="A26" t="s">
        <v>133</v>
      </c>
      <c r="B26" t="s">
        <v>181</v>
      </c>
      <c r="C26" s="43">
        <v>900</v>
      </c>
      <c r="D26" s="43">
        <v>873</v>
      </c>
      <c r="E26" s="43">
        <v>306</v>
      </c>
      <c r="F26" s="43"/>
    </row>
    <row r="27" spans="1:18" x14ac:dyDescent="0.25">
      <c r="A27" t="s">
        <v>117</v>
      </c>
      <c r="B27" t="s">
        <v>165</v>
      </c>
      <c r="C27" s="43">
        <v>281</v>
      </c>
      <c r="D27" s="43">
        <f>C27*96.8/100</f>
        <v>272.00799999999998</v>
      </c>
      <c r="E27" s="43">
        <v>192.5</v>
      </c>
      <c r="F27" s="43"/>
    </row>
    <row r="28" spans="1:18" x14ac:dyDescent="0.25">
      <c r="A28" t="s">
        <v>117</v>
      </c>
      <c r="B28" t="s">
        <v>165</v>
      </c>
      <c r="C28" s="43">
        <v>275</v>
      </c>
      <c r="D28" s="43">
        <f>C28*96.8/100</f>
        <v>266.2</v>
      </c>
      <c r="E28" s="43">
        <v>170</v>
      </c>
      <c r="F28" s="43"/>
    </row>
    <row r="29" spans="1:18" x14ac:dyDescent="0.25">
      <c r="A29" t="s">
        <v>117</v>
      </c>
      <c r="B29" t="s">
        <v>165</v>
      </c>
      <c r="C29" s="43">
        <v>286</v>
      </c>
      <c r="D29" s="43">
        <f>C29*96.8/100</f>
        <v>276.84800000000001</v>
      </c>
      <c r="E29" s="43">
        <v>223</v>
      </c>
      <c r="F29" s="43"/>
    </row>
    <row r="30" spans="1:18" x14ac:dyDescent="0.25">
      <c r="A30" t="s">
        <v>117</v>
      </c>
      <c r="B30" t="s">
        <v>165</v>
      </c>
      <c r="C30" s="43">
        <v>283</v>
      </c>
      <c r="D30" s="43">
        <f>C30*96.8/100</f>
        <v>273.94399999999996</v>
      </c>
      <c r="E30" s="43">
        <v>180</v>
      </c>
      <c r="F30" s="43"/>
    </row>
    <row r="31" spans="1:18" x14ac:dyDescent="0.25">
      <c r="A31" t="s">
        <v>158</v>
      </c>
      <c r="B31" t="s">
        <v>158</v>
      </c>
      <c r="C31" s="43">
        <v>375</v>
      </c>
      <c r="D31" s="43">
        <v>251.1</v>
      </c>
      <c r="E31" s="43">
        <v>375</v>
      </c>
      <c r="F31" s="43"/>
    </row>
    <row r="32" spans="1:18" x14ac:dyDescent="0.25">
      <c r="A32" t="s">
        <v>158</v>
      </c>
      <c r="B32" t="s">
        <v>158</v>
      </c>
      <c r="C32" s="43">
        <v>350</v>
      </c>
      <c r="D32" s="43">
        <v>262.5</v>
      </c>
      <c r="E32" s="43">
        <v>324.00000000000006</v>
      </c>
      <c r="F32" s="43">
        <v>17.5</v>
      </c>
    </row>
    <row r="33" spans="1:6" x14ac:dyDescent="0.25">
      <c r="A33" t="s">
        <v>158</v>
      </c>
      <c r="B33" t="s">
        <v>158</v>
      </c>
      <c r="C33" s="43">
        <v>600</v>
      </c>
      <c r="D33" s="43">
        <v>450</v>
      </c>
      <c r="E33" s="43">
        <v>244.44444444444446</v>
      </c>
      <c r="F33" s="43">
        <v>36</v>
      </c>
    </row>
    <row r="34" spans="1:6" x14ac:dyDescent="0.25">
      <c r="A34" t="s">
        <v>158</v>
      </c>
      <c r="B34" t="s">
        <v>158</v>
      </c>
      <c r="C34" s="43">
        <v>280</v>
      </c>
      <c r="D34" s="43">
        <v>210</v>
      </c>
      <c r="E34" s="43">
        <v>340.75</v>
      </c>
      <c r="F34" s="43"/>
    </row>
    <row r="35" spans="1:6" x14ac:dyDescent="0.25">
      <c r="A35" t="s">
        <v>158</v>
      </c>
      <c r="B35" t="s">
        <v>158</v>
      </c>
      <c r="C35" s="43">
        <v>500</v>
      </c>
      <c r="D35" s="43">
        <v>375</v>
      </c>
      <c r="E35" s="43">
        <v>324.00000000000006</v>
      </c>
      <c r="F35" s="43">
        <v>25</v>
      </c>
    </row>
    <row r="36" spans="1:6" x14ac:dyDescent="0.25">
      <c r="A36" t="s">
        <v>158</v>
      </c>
      <c r="B36" t="s">
        <v>158</v>
      </c>
      <c r="C36" s="43">
        <v>681</v>
      </c>
      <c r="D36" s="43">
        <v>483</v>
      </c>
      <c r="E36" s="43">
        <v>185.7</v>
      </c>
      <c r="F36" s="43"/>
    </row>
    <row r="37" spans="1:6" x14ac:dyDescent="0.25">
      <c r="A37" t="s">
        <v>158</v>
      </c>
      <c r="B37" t="s">
        <v>158</v>
      </c>
      <c r="C37" s="43">
        <v>310.5</v>
      </c>
      <c r="D37" s="43">
        <v>243.6</v>
      </c>
      <c r="E37" s="43">
        <v>299.10000000000002</v>
      </c>
      <c r="F37" s="43"/>
    </row>
    <row r="38" spans="1:6" x14ac:dyDescent="0.25">
      <c r="A38" t="s">
        <v>158</v>
      </c>
      <c r="B38" t="s">
        <v>158</v>
      </c>
      <c r="C38" s="43">
        <v>567.9</v>
      </c>
      <c r="D38" s="43">
        <v>408.4</v>
      </c>
      <c r="E38" s="43">
        <v>261.89999999999998</v>
      </c>
      <c r="F38" s="43"/>
    </row>
    <row r="39" spans="1:6" x14ac:dyDescent="0.25">
      <c r="A39" t="s">
        <v>157</v>
      </c>
      <c r="B39" t="s">
        <v>157</v>
      </c>
      <c r="C39" s="43">
        <v>13.11</v>
      </c>
      <c r="D39" s="43">
        <v>5.62</v>
      </c>
      <c r="E39" s="43">
        <v>320</v>
      </c>
      <c r="F39" s="43"/>
    </row>
    <row r="40" spans="1:6" x14ac:dyDescent="0.25">
      <c r="A40" t="s">
        <v>157</v>
      </c>
      <c r="B40" t="s">
        <v>157</v>
      </c>
      <c r="C40" s="43">
        <v>80</v>
      </c>
      <c r="D40" s="43">
        <v>72</v>
      </c>
      <c r="E40" s="43">
        <v>243.6</v>
      </c>
      <c r="F40" s="43">
        <v>3.2</v>
      </c>
    </row>
    <row r="41" spans="1:6" x14ac:dyDescent="0.25">
      <c r="A41" t="s">
        <v>157</v>
      </c>
      <c r="B41" t="s">
        <v>157</v>
      </c>
      <c r="C41" s="43">
        <v>80</v>
      </c>
      <c r="D41" s="43">
        <v>64</v>
      </c>
      <c r="E41" s="43">
        <v>181.5</v>
      </c>
      <c r="F41" s="43"/>
    </row>
    <row r="42" spans="1:6" x14ac:dyDescent="0.25">
      <c r="A42" t="s">
        <v>157</v>
      </c>
      <c r="B42" t="s">
        <v>157</v>
      </c>
      <c r="C42" s="43">
        <v>58.6</v>
      </c>
      <c r="D42" s="43">
        <v>49.7</v>
      </c>
      <c r="E42" s="43">
        <v>190</v>
      </c>
      <c r="F42" s="43"/>
    </row>
    <row r="43" spans="1:6" x14ac:dyDescent="0.25">
      <c r="A43" t="s">
        <v>157</v>
      </c>
      <c r="B43" t="s">
        <v>157</v>
      </c>
      <c r="C43" s="43">
        <v>34.700000000000003</v>
      </c>
      <c r="D43" s="43">
        <v>26.4</v>
      </c>
      <c r="E43" s="43">
        <v>190</v>
      </c>
      <c r="F43" s="43"/>
    </row>
    <row r="44" spans="1:6" x14ac:dyDescent="0.25">
      <c r="A44" t="s">
        <v>157</v>
      </c>
      <c r="B44" t="s">
        <v>157</v>
      </c>
      <c r="C44" s="43">
        <v>145.30000000000001</v>
      </c>
      <c r="D44" s="43">
        <v>124.1</v>
      </c>
      <c r="E44" s="43">
        <v>245</v>
      </c>
      <c r="F44" s="43"/>
    </row>
    <row r="45" spans="1:6" x14ac:dyDescent="0.25">
      <c r="A45" t="s">
        <v>157</v>
      </c>
      <c r="B45" t="s">
        <v>157</v>
      </c>
      <c r="C45" s="43">
        <v>82.3</v>
      </c>
      <c r="D45" s="43">
        <v>69.900000000000006</v>
      </c>
      <c r="E45" s="43">
        <v>240</v>
      </c>
      <c r="F45" s="43"/>
    </row>
    <row r="46" spans="1:6" x14ac:dyDescent="0.25">
      <c r="A46" t="s">
        <v>157</v>
      </c>
      <c r="B46" t="s">
        <v>157</v>
      </c>
      <c r="C46" s="43">
        <v>68.400000000000006</v>
      </c>
      <c r="D46" s="43">
        <v>56.9</v>
      </c>
      <c r="E46" s="43">
        <v>245</v>
      </c>
      <c r="F46" s="43"/>
    </row>
    <row r="47" spans="1:6" x14ac:dyDescent="0.25">
      <c r="A47" t="s">
        <v>157</v>
      </c>
      <c r="B47" t="s">
        <v>157</v>
      </c>
      <c r="C47" s="43">
        <v>93.6</v>
      </c>
      <c r="D47" s="43">
        <v>78.5</v>
      </c>
      <c r="E47" s="43">
        <v>230</v>
      </c>
      <c r="F47" s="43"/>
    </row>
    <row r="48" spans="1:6" x14ac:dyDescent="0.25">
      <c r="A48" t="s">
        <v>157</v>
      </c>
      <c r="B48" t="s">
        <v>157</v>
      </c>
      <c r="C48" s="43">
        <v>62.4</v>
      </c>
      <c r="D48" s="43">
        <v>51.3</v>
      </c>
      <c r="E48" s="43">
        <v>228.5</v>
      </c>
      <c r="F48" s="43"/>
    </row>
    <row r="49" spans="1:6" x14ac:dyDescent="0.25">
      <c r="A49" t="s">
        <v>75</v>
      </c>
      <c r="B49" t="s">
        <v>75</v>
      </c>
      <c r="C49" s="43">
        <v>35</v>
      </c>
      <c r="D49" s="43">
        <v>28</v>
      </c>
      <c r="E49" s="43">
        <v>252.3</v>
      </c>
      <c r="F49" s="43"/>
    </row>
    <row r="50" spans="1:6" x14ac:dyDescent="0.25">
      <c r="A50" t="s">
        <v>75</v>
      </c>
      <c r="B50" t="s">
        <v>75</v>
      </c>
      <c r="C50" s="43">
        <v>40</v>
      </c>
      <c r="D50" s="43">
        <v>36</v>
      </c>
      <c r="E50" s="43">
        <v>252</v>
      </c>
      <c r="F50" s="43">
        <v>3.2</v>
      </c>
    </row>
    <row r="51" spans="1:6" x14ac:dyDescent="0.25">
      <c r="A51" t="s">
        <v>75</v>
      </c>
      <c r="B51" t="s">
        <v>75</v>
      </c>
      <c r="C51" s="43">
        <v>45</v>
      </c>
      <c r="D51" s="43">
        <v>36</v>
      </c>
      <c r="E51" s="43">
        <v>252.3</v>
      </c>
      <c r="F51" s="43"/>
    </row>
    <row r="52" spans="1:6" x14ac:dyDescent="0.25">
      <c r="A52" t="s">
        <v>75</v>
      </c>
      <c r="B52" t="s">
        <v>75</v>
      </c>
      <c r="C52" s="43">
        <v>68.2</v>
      </c>
      <c r="D52" s="43">
        <v>48.9</v>
      </c>
      <c r="E52" s="43">
        <v>130</v>
      </c>
      <c r="F52" s="43"/>
    </row>
    <row r="53" spans="1:6" x14ac:dyDescent="0.25">
      <c r="A53" t="s">
        <v>75</v>
      </c>
      <c r="B53" t="s">
        <v>75</v>
      </c>
      <c r="C53" s="43">
        <v>68.2</v>
      </c>
      <c r="D53" s="43">
        <v>48.9</v>
      </c>
      <c r="E53" s="43">
        <v>125</v>
      </c>
      <c r="F53" s="43"/>
    </row>
    <row r="54" spans="1:6" x14ac:dyDescent="0.25">
      <c r="A54" t="s">
        <v>74</v>
      </c>
      <c r="B54" t="s">
        <v>74</v>
      </c>
      <c r="C54" s="43">
        <v>220</v>
      </c>
      <c r="D54" s="43">
        <v>171.6</v>
      </c>
      <c r="E54" s="43">
        <v>209.00000000000003</v>
      </c>
      <c r="F54" s="43">
        <v>4.3999999999999995</v>
      </c>
    </row>
    <row r="55" spans="1:6" x14ac:dyDescent="0.25">
      <c r="A55" t="s">
        <v>74</v>
      </c>
      <c r="B55" t="s">
        <v>74</v>
      </c>
      <c r="C55" s="43">
        <v>250</v>
      </c>
      <c r="D55" s="43">
        <v>200</v>
      </c>
      <c r="E55" s="43">
        <v>165</v>
      </c>
      <c r="F55" s="43"/>
    </row>
    <row r="56" spans="1:6" x14ac:dyDescent="0.25">
      <c r="A56" t="s">
        <v>74</v>
      </c>
      <c r="B56" t="s">
        <v>74</v>
      </c>
      <c r="C56" s="43">
        <v>250</v>
      </c>
      <c r="D56" s="43">
        <v>200</v>
      </c>
      <c r="E56" s="43">
        <v>165</v>
      </c>
      <c r="F56" s="43"/>
    </row>
    <row r="57" spans="1:6" x14ac:dyDescent="0.25">
      <c r="A57" t="s">
        <v>74</v>
      </c>
      <c r="B57" t="s">
        <v>74</v>
      </c>
      <c r="C57" s="43">
        <v>250</v>
      </c>
      <c r="D57" s="43">
        <v>200</v>
      </c>
      <c r="E57" s="43">
        <v>189.75</v>
      </c>
      <c r="F57" s="43"/>
    </row>
    <row r="58" spans="1:6" x14ac:dyDescent="0.25">
      <c r="A58" t="s">
        <v>152</v>
      </c>
      <c r="B58" t="s">
        <v>166</v>
      </c>
      <c r="C58" s="43">
        <v>280</v>
      </c>
      <c r="D58" s="43">
        <v>266</v>
      </c>
      <c r="E58" s="43">
        <v>265</v>
      </c>
      <c r="F58" s="43">
        <v>3.3600000000000003</v>
      </c>
    </row>
    <row r="59" spans="1:6" x14ac:dyDescent="0.25">
      <c r="A59" t="s">
        <v>152</v>
      </c>
      <c r="B59" t="s">
        <v>166</v>
      </c>
      <c r="C59" s="43">
        <v>320</v>
      </c>
      <c r="D59" s="43">
        <v>300.79999999999995</v>
      </c>
      <c r="E59" s="43">
        <v>300</v>
      </c>
      <c r="F59" s="43">
        <v>4.4800000000000004</v>
      </c>
    </row>
    <row r="60" spans="1:6" x14ac:dyDescent="0.25">
      <c r="A60" t="s">
        <v>152</v>
      </c>
      <c r="B60" t="s">
        <v>166</v>
      </c>
      <c r="C60" s="43">
        <v>300</v>
      </c>
      <c r="D60" s="43">
        <v>285</v>
      </c>
      <c r="E60" s="43">
        <v>351</v>
      </c>
      <c r="F60" s="43"/>
    </row>
    <row r="61" spans="1:6" x14ac:dyDescent="0.25">
      <c r="A61" t="s">
        <v>152</v>
      </c>
      <c r="B61" t="s">
        <v>166</v>
      </c>
      <c r="C61" s="43">
        <v>300</v>
      </c>
      <c r="D61" s="43">
        <v>282</v>
      </c>
      <c r="E61" s="43">
        <v>238</v>
      </c>
      <c r="F61" s="43"/>
    </row>
    <row r="62" spans="1:6" x14ac:dyDescent="0.25">
      <c r="A62" t="s">
        <v>193</v>
      </c>
      <c r="B62" t="s">
        <v>195</v>
      </c>
      <c r="C62" s="43">
        <v>320</v>
      </c>
      <c r="D62" s="43">
        <v>300.79999999999995</v>
      </c>
      <c r="E62" s="43">
        <v>316.2</v>
      </c>
      <c r="F62" s="43">
        <v>14</v>
      </c>
    </row>
    <row r="63" spans="1:6" x14ac:dyDescent="0.25">
      <c r="A63" t="s">
        <v>193</v>
      </c>
      <c r="B63" t="s">
        <v>195</v>
      </c>
      <c r="C63" s="43">
        <v>280</v>
      </c>
      <c r="D63" s="43">
        <v>266</v>
      </c>
      <c r="E63" s="43">
        <v>286.2</v>
      </c>
      <c r="F63" s="43"/>
    </row>
    <row r="64" spans="1:6" x14ac:dyDescent="0.25">
      <c r="A64" t="s">
        <v>194</v>
      </c>
      <c r="B64" t="s">
        <v>195</v>
      </c>
      <c r="C64" s="43">
        <v>240</v>
      </c>
      <c r="D64" s="43">
        <v>220.32</v>
      </c>
      <c r="E64" s="43">
        <v>323.98899999999998</v>
      </c>
      <c r="F64" s="43"/>
    </row>
  </sheetData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CF354-71A8-4996-831C-3FDC47319901}">
  <dimension ref="A1:W102"/>
  <sheetViews>
    <sheetView tabSelected="1" topLeftCell="D1" zoomScaleNormal="100" workbookViewId="0">
      <selection activeCell="U13" sqref="U13"/>
    </sheetView>
  </sheetViews>
  <sheetFormatPr defaultRowHeight="15" x14ac:dyDescent="0.25"/>
  <cols>
    <col min="1" max="1" width="36.85546875" bestFit="1" customWidth="1"/>
    <col min="2" max="2" width="21.7109375" customWidth="1"/>
    <col min="3" max="3" width="9.42578125" customWidth="1"/>
    <col min="18" max="18" width="38.28515625" bestFit="1" customWidth="1"/>
    <col min="19" max="19" width="25.28515625" bestFit="1" customWidth="1"/>
    <col min="20" max="20" width="23.5703125" bestFit="1" customWidth="1"/>
    <col min="21" max="21" width="23" bestFit="1" customWidth="1"/>
  </cols>
  <sheetData>
    <row r="1" spans="1:23" ht="30" x14ac:dyDescent="0.25">
      <c r="A1" t="s">
        <v>167</v>
      </c>
      <c r="B1" t="s">
        <v>153</v>
      </c>
      <c r="C1" s="8" t="s">
        <v>85</v>
      </c>
      <c r="D1" s="6" t="s">
        <v>86</v>
      </c>
      <c r="E1" s="6" t="s">
        <v>87</v>
      </c>
      <c r="F1" s="6" t="s">
        <v>88</v>
      </c>
      <c r="G1" s="7" t="s">
        <v>89</v>
      </c>
      <c r="H1" s="7" t="s">
        <v>90</v>
      </c>
      <c r="I1" s="7" t="s">
        <v>91</v>
      </c>
      <c r="J1" s="7" t="s">
        <v>92</v>
      </c>
      <c r="K1" s="9" t="s">
        <v>93</v>
      </c>
      <c r="L1" s="9" t="s">
        <v>94</v>
      </c>
      <c r="M1" s="9" t="s">
        <v>95</v>
      </c>
      <c r="N1" s="9" t="s">
        <v>96</v>
      </c>
      <c r="O1" s="9" t="s">
        <v>97</v>
      </c>
      <c r="P1" s="9" t="s">
        <v>98</v>
      </c>
      <c r="R1" s="46" t="s">
        <v>214</v>
      </c>
    </row>
    <row r="2" spans="1:23" x14ac:dyDescent="0.25">
      <c r="A2" t="s">
        <v>68</v>
      </c>
      <c r="C2" s="4" t="s">
        <v>55</v>
      </c>
      <c r="D2" s="12">
        <v>155</v>
      </c>
      <c r="E2" s="12">
        <v>228</v>
      </c>
      <c r="F2" s="12">
        <v>239</v>
      </c>
      <c r="G2" s="13">
        <v>196</v>
      </c>
      <c r="H2" s="13">
        <v>217</v>
      </c>
      <c r="I2" s="13">
        <v>307</v>
      </c>
      <c r="J2" s="13">
        <v>319</v>
      </c>
      <c r="K2">
        <f>AVERAGE(Tabella25[[#This Row],[2009]:[2023]])</f>
        <v>237.28571428571428</v>
      </c>
      <c r="L2">
        <f>MAX(Tabella25[[#This Row],[2009]:[2023]])</f>
        <v>319</v>
      </c>
      <c r="M2">
        <f>MIN(Tabella25[[#This Row],[2009]:[2023]])</f>
        <v>155</v>
      </c>
      <c r="N2">
        <f>AVERAGE(D2:J13)</f>
        <v>226.63095238095238</v>
      </c>
      <c r="O2" s="1">
        <f t="shared" ref="O2" si="0">MAX(D2:J13)</f>
        <v>389</v>
      </c>
      <c r="P2" s="1">
        <f t="shared" ref="P2" si="1">MIN(D2:J13)</f>
        <v>135</v>
      </c>
      <c r="R2" t="s">
        <v>209</v>
      </c>
    </row>
    <row r="3" spans="1:23" x14ac:dyDescent="0.25">
      <c r="A3" t="s">
        <v>68</v>
      </c>
      <c r="C3" s="5" t="s">
        <v>56</v>
      </c>
      <c r="D3" s="14">
        <v>154</v>
      </c>
      <c r="E3" s="14">
        <v>224</v>
      </c>
      <c r="F3" s="14">
        <v>233</v>
      </c>
      <c r="G3" s="15">
        <v>197</v>
      </c>
      <c r="H3" s="15">
        <v>229</v>
      </c>
      <c r="I3" s="15">
        <v>303</v>
      </c>
      <c r="J3" s="15">
        <v>291</v>
      </c>
      <c r="K3">
        <f>AVERAGE(Tabella25[[#This Row],[2009]:[2023]])</f>
        <v>233</v>
      </c>
      <c r="L3">
        <f>MAX(Tabella25[[#This Row],[2009]:[2023]])</f>
        <v>303</v>
      </c>
      <c r="M3">
        <f>MIN(Tabella25[[#This Row],[2009]:[2023]])</f>
        <v>154</v>
      </c>
      <c r="O3">
        <f>O2/N2</f>
        <v>1.7164469191574303</v>
      </c>
      <c r="P3">
        <f>P2/N2</f>
        <v>0.59568209276671746</v>
      </c>
      <c r="R3" t="s">
        <v>211</v>
      </c>
    </row>
    <row r="4" spans="1:23" x14ac:dyDescent="0.25">
      <c r="A4" t="s">
        <v>68</v>
      </c>
      <c r="C4" s="4" t="s">
        <v>57</v>
      </c>
      <c r="D4" s="12">
        <v>144</v>
      </c>
      <c r="E4" s="12">
        <v>225</v>
      </c>
      <c r="F4" s="12">
        <v>222</v>
      </c>
      <c r="G4" s="13">
        <v>197</v>
      </c>
      <c r="H4" s="13">
        <v>225</v>
      </c>
      <c r="I4" s="13">
        <v>382</v>
      </c>
      <c r="J4" s="13">
        <v>270</v>
      </c>
      <c r="K4">
        <f>AVERAGE(Tabella25[[#This Row],[2009]:[2023]])</f>
        <v>237.85714285714286</v>
      </c>
      <c r="L4">
        <f>MAX(Tabella25[[#This Row],[2009]:[2023]])</f>
        <v>382</v>
      </c>
      <c r="M4">
        <f>MIN(Tabella25[[#This Row],[2009]:[2023]])</f>
        <v>144</v>
      </c>
      <c r="R4" t="s">
        <v>215</v>
      </c>
    </row>
    <row r="5" spans="1:23" x14ac:dyDescent="0.25">
      <c r="A5" t="s">
        <v>68</v>
      </c>
      <c r="C5" s="5" t="s">
        <v>58</v>
      </c>
      <c r="D5" s="14">
        <v>142</v>
      </c>
      <c r="E5" s="14">
        <v>223</v>
      </c>
      <c r="F5" s="14">
        <v>221</v>
      </c>
      <c r="G5" s="15">
        <v>192</v>
      </c>
      <c r="H5" s="15">
        <v>223</v>
      </c>
      <c r="I5" s="15">
        <v>385</v>
      </c>
      <c r="J5" s="15">
        <v>258</v>
      </c>
      <c r="K5">
        <f>AVERAGE(Tabella25[[#This Row],[2009]:[2023]])</f>
        <v>234.85714285714286</v>
      </c>
      <c r="L5">
        <f>MAX(Tabella25[[#This Row],[2009]:[2023]])</f>
        <v>385</v>
      </c>
      <c r="M5">
        <f>MIN(Tabella25[[#This Row],[2009]:[2023]])</f>
        <v>142</v>
      </c>
      <c r="R5" t="s">
        <v>216</v>
      </c>
    </row>
    <row r="6" spans="1:23" x14ac:dyDescent="0.25">
      <c r="A6" t="s">
        <v>68</v>
      </c>
      <c r="C6" s="4" t="s">
        <v>59</v>
      </c>
      <c r="D6" s="12">
        <v>151</v>
      </c>
      <c r="E6" s="12">
        <v>218</v>
      </c>
      <c r="F6" s="12">
        <v>221</v>
      </c>
      <c r="G6" s="13">
        <v>181</v>
      </c>
      <c r="H6" s="13">
        <v>244</v>
      </c>
      <c r="I6" s="18">
        <v>389</v>
      </c>
      <c r="J6" s="13">
        <v>272</v>
      </c>
      <c r="K6">
        <f>AVERAGE(Tabella25[[#This Row],[2009]:[2023]])</f>
        <v>239.42857142857142</v>
      </c>
      <c r="L6">
        <f>MAX(Tabella25[[#This Row],[2009]:[2023]])</f>
        <v>389</v>
      </c>
      <c r="M6">
        <f>MIN(Tabella25[[#This Row],[2009]:[2023]])</f>
        <v>151</v>
      </c>
      <c r="S6" t="s">
        <v>93</v>
      </c>
      <c r="T6" t="s">
        <v>94</v>
      </c>
      <c r="U6" t="s">
        <v>95</v>
      </c>
      <c r="V6" t="s">
        <v>212</v>
      </c>
      <c r="W6" t="s">
        <v>213</v>
      </c>
    </row>
    <row r="7" spans="1:23" x14ac:dyDescent="0.25">
      <c r="A7" t="s">
        <v>68</v>
      </c>
      <c r="C7" s="5" t="s">
        <v>60</v>
      </c>
      <c r="D7" s="14">
        <v>146</v>
      </c>
      <c r="E7" s="14">
        <v>200</v>
      </c>
      <c r="F7" s="14">
        <v>211</v>
      </c>
      <c r="G7" s="15">
        <v>173</v>
      </c>
      <c r="H7" s="15">
        <v>241</v>
      </c>
      <c r="I7" s="15">
        <v>355</v>
      </c>
      <c r="J7" s="15">
        <v>246</v>
      </c>
      <c r="K7">
        <f>AVERAGE(Tabella25[[#This Row],[2009]:[2023]])</f>
        <v>224.57142857142858</v>
      </c>
      <c r="L7">
        <f>MAX(Tabella25[[#This Row],[2009]:[2023]])</f>
        <v>355</v>
      </c>
      <c r="M7">
        <f>MIN(Tabella25[[#This Row],[2009]:[2023]])</f>
        <v>146</v>
      </c>
      <c r="R7" s="11" t="s">
        <v>195</v>
      </c>
      <c r="S7" s="1">
        <v>34</v>
      </c>
      <c r="T7" s="1">
        <v>38</v>
      </c>
      <c r="U7" s="1">
        <v>17.5</v>
      </c>
      <c r="V7" s="1">
        <f>T7/S7</f>
        <v>1.1176470588235294</v>
      </c>
      <c r="W7" s="1">
        <f>U7/S7</f>
        <v>0.51470588235294112</v>
      </c>
    </row>
    <row r="8" spans="1:23" x14ac:dyDescent="0.25">
      <c r="A8" t="s">
        <v>68</v>
      </c>
      <c r="C8" s="4" t="s">
        <v>61</v>
      </c>
      <c r="D8" s="12">
        <v>138</v>
      </c>
      <c r="E8" s="12">
        <v>188</v>
      </c>
      <c r="F8" s="12">
        <v>186</v>
      </c>
      <c r="G8" s="13">
        <v>169</v>
      </c>
      <c r="H8" s="13">
        <v>212</v>
      </c>
      <c r="I8" s="13">
        <v>339</v>
      </c>
      <c r="J8" s="13">
        <v>214</v>
      </c>
      <c r="K8">
        <f>AVERAGE(Tabella25[[#This Row],[2009]:[2023]])</f>
        <v>206.57142857142858</v>
      </c>
      <c r="L8">
        <f>MAX(Tabella25[[#This Row],[2009]:[2023]])</f>
        <v>339</v>
      </c>
      <c r="M8">
        <f>MIN(Tabella25[[#This Row],[2009]:[2023]])</f>
        <v>138</v>
      </c>
      <c r="R8" s="11" t="s">
        <v>158</v>
      </c>
      <c r="S8" s="1">
        <v>40</v>
      </c>
      <c r="T8" s="1">
        <v>68</v>
      </c>
      <c r="U8" s="1">
        <v>23</v>
      </c>
      <c r="V8" s="1">
        <f t="shared" ref="V8:V16" si="2">T8/S8</f>
        <v>1.7</v>
      </c>
      <c r="W8" s="1">
        <f t="shared" ref="W8:W16" si="3">U8/S8</f>
        <v>0.57499999999999996</v>
      </c>
    </row>
    <row r="9" spans="1:23" x14ac:dyDescent="0.25">
      <c r="A9" t="s">
        <v>68</v>
      </c>
      <c r="C9" s="5" t="s">
        <v>62</v>
      </c>
      <c r="D9" s="14">
        <v>137</v>
      </c>
      <c r="E9" s="14">
        <v>186</v>
      </c>
      <c r="F9" s="14">
        <v>186</v>
      </c>
      <c r="G9" s="15">
        <v>173</v>
      </c>
      <c r="H9" s="15">
        <v>233</v>
      </c>
      <c r="I9" s="15">
        <v>349</v>
      </c>
      <c r="J9" s="15">
        <v>228</v>
      </c>
      <c r="K9">
        <f>AVERAGE(Tabella25[[#This Row],[2009]:[2023]])</f>
        <v>213.14285714285714</v>
      </c>
      <c r="L9">
        <f>MAX(Tabella25[[#This Row],[2009]:[2023]])</f>
        <v>349</v>
      </c>
      <c r="M9">
        <f>MIN(Tabella25[[#This Row],[2009]:[2023]])</f>
        <v>137</v>
      </c>
      <c r="R9" s="11" t="s">
        <v>74</v>
      </c>
      <c r="S9" s="1">
        <v>10</v>
      </c>
      <c r="T9" s="1">
        <v>11</v>
      </c>
      <c r="U9" s="1">
        <v>8.6</v>
      </c>
      <c r="V9" s="1">
        <f t="shared" si="2"/>
        <v>1.1000000000000001</v>
      </c>
      <c r="W9" s="1">
        <f t="shared" si="3"/>
        <v>0.86</v>
      </c>
    </row>
    <row r="10" spans="1:23" ht="25.5" x14ac:dyDescent="0.25">
      <c r="A10" t="s">
        <v>68</v>
      </c>
      <c r="C10" s="4" t="s">
        <v>63</v>
      </c>
      <c r="D10" s="17">
        <v>135</v>
      </c>
      <c r="E10" s="12">
        <v>183</v>
      </c>
      <c r="F10" s="12">
        <v>183</v>
      </c>
      <c r="G10" s="13">
        <v>179</v>
      </c>
      <c r="H10" s="13">
        <v>246</v>
      </c>
      <c r="I10" s="13">
        <v>350</v>
      </c>
      <c r="J10" s="13">
        <v>222</v>
      </c>
      <c r="K10">
        <f>AVERAGE(Tabella25[[#This Row],[2009]:[2023]])</f>
        <v>214</v>
      </c>
      <c r="L10">
        <f>MAX(Tabella25[[#This Row],[2009]:[2023]])</f>
        <v>350</v>
      </c>
      <c r="M10">
        <f>MIN(Tabella25[[#This Row],[2009]:[2023]])</f>
        <v>135</v>
      </c>
      <c r="R10" s="11" t="s">
        <v>157</v>
      </c>
      <c r="S10" s="1">
        <v>5.5</v>
      </c>
      <c r="T10" s="1">
        <v>8.4499999999999993</v>
      </c>
      <c r="U10" s="1">
        <v>1.5</v>
      </c>
      <c r="V10" s="1">
        <f t="shared" si="2"/>
        <v>1.5363636363636362</v>
      </c>
      <c r="W10" s="1">
        <f t="shared" si="3"/>
        <v>0.27272727272727271</v>
      </c>
    </row>
    <row r="11" spans="1:23" x14ac:dyDescent="0.25">
      <c r="A11" t="s">
        <v>68</v>
      </c>
      <c r="C11" s="5" t="s">
        <v>64</v>
      </c>
      <c r="D11" s="14">
        <v>138</v>
      </c>
      <c r="E11" s="14">
        <v>185</v>
      </c>
      <c r="F11" s="14">
        <v>182</v>
      </c>
      <c r="G11" s="15">
        <v>188</v>
      </c>
      <c r="H11" s="15">
        <v>268</v>
      </c>
      <c r="I11" s="15">
        <v>350</v>
      </c>
      <c r="J11" s="15">
        <v>223</v>
      </c>
      <c r="K11">
        <f>AVERAGE(Tabella25[[#This Row],[2009]:[2023]])</f>
        <v>219.14285714285714</v>
      </c>
      <c r="L11">
        <f>MAX(Tabella25[[#This Row],[2009]:[2023]])</f>
        <v>350</v>
      </c>
      <c r="M11">
        <f>MIN(Tabella25[[#This Row],[2009]:[2023]])</f>
        <v>138</v>
      </c>
      <c r="R11" s="11" t="s">
        <v>154</v>
      </c>
      <c r="S11" s="1">
        <f>N74</f>
        <v>40.31333333333334</v>
      </c>
      <c r="T11" s="1">
        <f>O74</f>
        <v>65</v>
      </c>
      <c r="U11" s="1">
        <f>P74</f>
        <v>31.5</v>
      </c>
      <c r="V11" s="1">
        <f t="shared" si="2"/>
        <v>1.6123697701339506</v>
      </c>
      <c r="W11" s="1">
        <f t="shared" si="3"/>
        <v>0.78137919629568364</v>
      </c>
    </row>
    <row r="12" spans="1:23" ht="25.5" x14ac:dyDescent="0.25">
      <c r="A12" t="s">
        <v>68</v>
      </c>
      <c r="C12" s="4" t="s">
        <v>65</v>
      </c>
      <c r="D12" s="12">
        <v>142</v>
      </c>
      <c r="E12" s="12">
        <v>193</v>
      </c>
      <c r="F12" s="12">
        <v>187</v>
      </c>
      <c r="G12" s="13">
        <v>200</v>
      </c>
      <c r="H12" s="13">
        <v>294</v>
      </c>
      <c r="I12" s="13">
        <v>345</v>
      </c>
      <c r="J12" s="13">
        <v>236</v>
      </c>
      <c r="K12">
        <f>AVERAGE(Tabella25[[#This Row],[2009]:[2023]])</f>
        <v>228.14285714285714</v>
      </c>
      <c r="L12">
        <f>MAX(Tabella25[[#This Row],[2009]:[2023]])</f>
        <v>345</v>
      </c>
      <c r="M12">
        <f>MIN(Tabella25[[#This Row],[2009]:[2023]])</f>
        <v>142</v>
      </c>
      <c r="R12" s="11" t="s">
        <v>75</v>
      </c>
      <c r="S12" s="1">
        <v>4.4000000000000004</v>
      </c>
      <c r="T12" s="1">
        <v>7.1</v>
      </c>
      <c r="U12" s="1">
        <v>2.62</v>
      </c>
      <c r="V12" s="1">
        <f t="shared" si="2"/>
        <v>1.6136363636363635</v>
      </c>
      <c r="W12" s="1">
        <f t="shared" si="3"/>
        <v>0.59545454545454546</v>
      </c>
    </row>
    <row r="13" spans="1:23" ht="25.5" x14ac:dyDescent="0.25">
      <c r="A13" t="s">
        <v>68</v>
      </c>
      <c r="C13" s="5" t="s">
        <v>66</v>
      </c>
      <c r="D13" s="14">
        <v>146</v>
      </c>
      <c r="E13" s="14">
        <v>204</v>
      </c>
      <c r="F13" s="14">
        <v>190</v>
      </c>
      <c r="G13" s="15">
        <v>207</v>
      </c>
      <c r="H13" s="15">
        <v>308</v>
      </c>
      <c r="I13" s="15">
        <v>327</v>
      </c>
      <c r="J13" s="15">
        <v>239</v>
      </c>
      <c r="K13">
        <f>AVERAGE(Tabella25[[#This Row],[2009]:[2023]])</f>
        <v>231.57142857142858</v>
      </c>
      <c r="L13">
        <f>MAX(Tabella25[[#This Row],[2009]:[2023]])</f>
        <v>327</v>
      </c>
      <c r="M13">
        <f>MIN(Tabella25[[#This Row],[2009]:[2023]])</f>
        <v>146</v>
      </c>
      <c r="R13" s="11" t="s">
        <v>182</v>
      </c>
      <c r="S13" s="1">
        <v>27</v>
      </c>
      <c r="T13" s="1">
        <f>V11*S13</f>
        <v>43.533983793616663</v>
      </c>
      <c r="U13" s="1">
        <f>W11*S13</f>
        <v>21.097238299983459</v>
      </c>
      <c r="V13" s="1">
        <f t="shared" si="2"/>
        <v>1.6123697701339506</v>
      </c>
      <c r="W13" s="1">
        <f t="shared" si="3"/>
        <v>0.78137919629568364</v>
      </c>
    </row>
    <row r="14" spans="1:23" x14ac:dyDescent="0.25">
      <c r="A14" t="s">
        <v>69</v>
      </c>
      <c r="C14" s="4" t="s">
        <v>55</v>
      </c>
      <c r="D14" s="12">
        <v>109</v>
      </c>
      <c r="E14" s="12">
        <v>146</v>
      </c>
      <c r="F14" s="12">
        <v>155</v>
      </c>
      <c r="G14" s="13">
        <v>131</v>
      </c>
      <c r="H14" s="13">
        <v>194</v>
      </c>
      <c r="I14" s="13">
        <v>217</v>
      </c>
      <c r="J14" s="13">
        <v>255</v>
      </c>
      <c r="K14">
        <f>AVERAGE(Tabella25[[#This Row],[2009]:[2023]])</f>
        <v>172.42857142857142</v>
      </c>
      <c r="L14">
        <f>MAX(Tabella25[[#This Row],[2009]:[2023]])</f>
        <v>255</v>
      </c>
      <c r="M14">
        <f>MIN(Tabella25[[#This Row],[2009]:[2023]])</f>
        <v>109</v>
      </c>
      <c r="N14">
        <f>AVERAGE(D14:J25)</f>
        <v>153.36904761904762</v>
      </c>
      <c r="O14" s="1">
        <f t="shared" ref="O14" si="4">MAX(D14:J25)</f>
        <v>284</v>
      </c>
      <c r="P14" s="1">
        <f t="shared" ref="P14" si="5">MIN(D14:J25)</f>
        <v>71</v>
      </c>
      <c r="R14" s="11" t="s">
        <v>165</v>
      </c>
      <c r="S14" s="47">
        <f>AVERAGE(T14:U14)</f>
        <v>24.25</v>
      </c>
      <c r="T14" s="47">
        <v>40</v>
      </c>
      <c r="U14" s="47">
        <v>8.5</v>
      </c>
      <c r="V14" s="1">
        <f t="shared" si="2"/>
        <v>1.6494845360824741</v>
      </c>
      <c r="W14" s="1">
        <f t="shared" si="3"/>
        <v>0.35051546391752575</v>
      </c>
    </row>
    <row r="15" spans="1:23" x14ac:dyDescent="0.25">
      <c r="A15" t="s">
        <v>69</v>
      </c>
      <c r="C15" s="5" t="s">
        <v>56</v>
      </c>
      <c r="D15" s="14">
        <v>88</v>
      </c>
      <c r="E15" s="14">
        <v>127</v>
      </c>
      <c r="F15" s="14">
        <v>134</v>
      </c>
      <c r="G15" s="15">
        <v>119</v>
      </c>
      <c r="H15" s="15">
        <v>172</v>
      </c>
      <c r="I15" s="15">
        <v>204</v>
      </c>
      <c r="J15" s="15">
        <v>230</v>
      </c>
      <c r="K15">
        <f>AVERAGE(Tabella25[[#This Row],[2009]:[2023]])</f>
        <v>153.42857142857142</v>
      </c>
      <c r="L15">
        <f>MAX(Tabella25[[#This Row],[2009]:[2023]])</f>
        <v>230</v>
      </c>
      <c r="M15">
        <f>MIN(Tabella25[[#This Row],[2009]:[2023]])</f>
        <v>88</v>
      </c>
      <c r="O15">
        <f>O14/N14</f>
        <v>1.8517426065357447</v>
      </c>
      <c r="P15">
        <f>P14/N14</f>
        <v>0.46293565163393618</v>
      </c>
      <c r="R15" s="11" t="s">
        <v>166</v>
      </c>
      <c r="S15" s="1">
        <v>32</v>
      </c>
      <c r="T15" s="1">
        <v>38</v>
      </c>
      <c r="U15" s="1">
        <v>19.3</v>
      </c>
      <c r="V15" s="1">
        <f t="shared" si="2"/>
        <v>1.1875</v>
      </c>
      <c r="W15" s="1">
        <f t="shared" si="3"/>
        <v>0.60312500000000002</v>
      </c>
    </row>
    <row r="16" spans="1:23" x14ac:dyDescent="0.25">
      <c r="A16" t="s">
        <v>69</v>
      </c>
      <c r="C16" s="4" t="s">
        <v>57</v>
      </c>
      <c r="D16" s="12">
        <v>84</v>
      </c>
      <c r="E16" s="12">
        <v>158</v>
      </c>
      <c r="F16" s="12">
        <v>128</v>
      </c>
      <c r="G16" s="13">
        <v>134</v>
      </c>
      <c r="H16" s="13">
        <v>178</v>
      </c>
      <c r="I16" s="13">
        <v>253</v>
      </c>
      <c r="J16" s="13">
        <v>237</v>
      </c>
      <c r="K16">
        <f>AVERAGE(Tabella25[[#This Row],[2009]:[2023]])</f>
        <v>167.42857142857142</v>
      </c>
      <c r="L16">
        <f>MAX(Tabella25[[#This Row],[2009]:[2023]])</f>
        <v>253</v>
      </c>
      <c r="M16">
        <f>MIN(Tabella25[[#This Row],[2009]:[2023]])</f>
        <v>84</v>
      </c>
      <c r="R16" s="11" t="s">
        <v>181</v>
      </c>
      <c r="S16" s="1">
        <f>N14</f>
        <v>153.36904761904762</v>
      </c>
      <c r="T16" s="1">
        <f>O14</f>
        <v>284</v>
      </c>
      <c r="U16" s="1">
        <f>P14</f>
        <v>71</v>
      </c>
      <c r="V16" s="1">
        <f t="shared" si="2"/>
        <v>1.8517426065357447</v>
      </c>
      <c r="W16" s="1">
        <f t="shared" si="3"/>
        <v>0.46293565163393618</v>
      </c>
    </row>
    <row r="17" spans="1:16" x14ac:dyDescent="0.25">
      <c r="A17" t="s">
        <v>69</v>
      </c>
      <c r="C17" s="5" t="s">
        <v>58</v>
      </c>
      <c r="D17" s="14">
        <v>99</v>
      </c>
      <c r="E17" s="14">
        <v>178</v>
      </c>
      <c r="F17" s="14">
        <v>148</v>
      </c>
      <c r="G17" s="15">
        <v>141</v>
      </c>
      <c r="H17" s="15">
        <v>193</v>
      </c>
      <c r="I17" s="15">
        <v>224</v>
      </c>
      <c r="J17" s="15">
        <v>250</v>
      </c>
      <c r="K17">
        <f>AVERAGE(Tabella25[[#This Row],[2009]:[2023]])</f>
        <v>176.14285714285714</v>
      </c>
      <c r="L17">
        <f>MAX(Tabella25[[#This Row],[2009]:[2023]])</f>
        <v>250</v>
      </c>
      <c r="M17">
        <f>MIN(Tabella25[[#This Row],[2009]:[2023]])</f>
        <v>99</v>
      </c>
    </row>
    <row r="18" spans="1:16" x14ac:dyDescent="0.25">
      <c r="A18" t="s">
        <v>69</v>
      </c>
      <c r="C18" s="4" t="s">
        <v>59</v>
      </c>
      <c r="D18" s="12">
        <v>91</v>
      </c>
      <c r="E18" s="12">
        <v>144</v>
      </c>
      <c r="F18" s="12">
        <v>148</v>
      </c>
      <c r="G18" s="13">
        <v>133</v>
      </c>
      <c r="H18" s="13">
        <v>192</v>
      </c>
      <c r="I18" s="13">
        <v>224</v>
      </c>
      <c r="J18" s="13">
        <v>220</v>
      </c>
      <c r="K18">
        <f>AVERAGE(Tabella25[[#This Row],[2009]:[2023]])</f>
        <v>164.57142857142858</v>
      </c>
      <c r="L18">
        <f>MAX(Tabella25[[#This Row],[2009]:[2023]])</f>
        <v>224</v>
      </c>
      <c r="M18">
        <f>MIN(Tabella25[[#This Row],[2009]:[2023]])</f>
        <v>91</v>
      </c>
    </row>
    <row r="19" spans="1:16" x14ac:dyDescent="0.25">
      <c r="A19" t="s">
        <v>69</v>
      </c>
      <c r="C19" s="5" t="s">
        <v>60</v>
      </c>
      <c r="D19" s="14">
        <v>79</v>
      </c>
      <c r="E19" s="14">
        <v>141</v>
      </c>
      <c r="F19" s="14">
        <v>128</v>
      </c>
      <c r="G19" s="15">
        <v>139</v>
      </c>
      <c r="H19" s="15">
        <v>178</v>
      </c>
      <c r="I19" s="15">
        <v>213</v>
      </c>
      <c r="J19" s="15">
        <v>176</v>
      </c>
      <c r="K19">
        <f>AVERAGE(Tabella25[[#This Row],[2009]:[2023]])</f>
        <v>150.57142857142858</v>
      </c>
      <c r="L19">
        <f>MAX(Tabella25[[#This Row],[2009]:[2023]])</f>
        <v>213</v>
      </c>
      <c r="M19">
        <f>MIN(Tabella25[[#This Row],[2009]:[2023]])</f>
        <v>79</v>
      </c>
    </row>
    <row r="20" spans="1:16" x14ac:dyDescent="0.25">
      <c r="A20" t="s">
        <v>69</v>
      </c>
      <c r="C20" s="4" t="s">
        <v>61</v>
      </c>
      <c r="D20" s="12">
        <v>76</v>
      </c>
      <c r="E20" s="12">
        <v>134</v>
      </c>
      <c r="F20" s="12">
        <v>113</v>
      </c>
      <c r="G20" s="13">
        <v>128</v>
      </c>
      <c r="H20" s="13">
        <v>138</v>
      </c>
      <c r="I20" s="13">
        <v>203</v>
      </c>
      <c r="J20" s="13">
        <v>127</v>
      </c>
      <c r="K20">
        <f>AVERAGE(Tabella25[[#This Row],[2009]:[2023]])</f>
        <v>131.28571428571428</v>
      </c>
      <c r="L20">
        <f>MAX(Tabella25[[#This Row],[2009]:[2023]])</f>
        <v>203</v>
      </c>
      <c r="M20">
        <f>MIN(Tabella25[[#This Row],[2009]:[2023]])</f>
        <v>76</v>
      </c>
    </row>
    <row r="21" spans="1:16" x14ac:dyDescent="0.25">
      <c r="A21" t="s">
        <v>69</v>
      </c>
      <c r="C21" s="5" t="s">
        <v>62</v>
      </c>
      <c r="D21" s="14">
        <v>80</v>
      </c>
      <c r="E21" s="14">
        <v>134</v>
      </c>
      <c r="F21" s="14">
        <v>129</v>
      </c>
      <c r="G21" s="15">
        <v>140</v>
      </c>
      <c r="H21" s="15">
        <v>151</v>
      </c>
      <c r="I21" s="15">
        <v>234</v>
      </c>
      <c r="J21" s="15">
        <v>132</v>
      </c>
      <c r="K21">
        <f>AVERAGE(Tabella25[[#This Row],[2009]:[2023]])</f>
        <v>142.85714285714286</v>
      </c>
      <c r="L21">
        <f>MAX(Tabella25[[#This Row],[2009]:[2023]])</f>
        <v>234</v>
      </c>
      <c r="M21">
        <f>MIN(Tabella25[[#This Row],[2009]:[2023]])</f>
        <v>80</v>
      </c>
    </row>
    <row r="22" spans="1:16" ht="25.5" x14ac:dyDescent="0.25">
      <c r="A22" t="s">
        <v>69</v>
      </c>
      <c r="C22" s="4" t="s">
        <v>63</v>
      </c>
      <c r="D22" s="17">
        <v>71</v>
      </c>
      <c r="E22" s="12">
        <v>104</v>
      </c>
      <c r="F22" s="12">
        <v>102</v>
      </c>
      <c r="G22" s="13">
        <v>117</v>
      </c>
      <c r="H22" s="13">
        <v>137</v>
      </c>
      <c r="I22" s="13">
        <v>229</v>
      </c>
      <c r="J22" s="13">
        <v>104</v>
      </c>
      <c r="K22">
        <f>AVERAGE(Tabella25[[#This Row],[2009]:[2023]])</f>
        <v>123.42857142857143</v>
      </c>
      <c r="L22">
        <f>MAX(Tabella25[[#This Row],[2009]:[2023]])</f>
        <v>229</v>
      </c>
      <c r="M22">
        <f>MIN(Tabella25[[#This Row],[2009]:[2023]])</f>
        <v>71</v>
      </c>
    </row>
    <row r="23" spans="1:16" x14ac:dyDescent="0.25">
      <c r="A23" t="s">
        <v>69</v>
      </c>
      <c r="C23" s="5" t="s">
        <v>64</v>
      </c>
      <c r="D23" s="14">
        <v>83</v>
      </c>
      <c r="E23" s="14">
        <v>103</v>
      </c>
      <c r="F23" s="14">
        <v>107</v>
      </c>
      <c r="G23" s="15">
        <v>133</v>
      </c>
      <c r="H23" s="15">
        <v>140</v>
      </c>
      <c r="I23" s="15">
        <v>228</v>
      </c>
      <c r="J23" s="15">
        <v>105</v>
      </c>
      <c r="K23">
        <f>AVERAGE(Tabella25[[#This Row],[2009]:[2023]])</f>
        <v>128.42857142857142</v>
      </c>
      <c r="L23">
        <f>MAX(Tabella25[[#This Row],[2009]:[2023]])</f>
        <v>228</v>
      </c>
      <c r="M23">
        <f>MIN(Tabella25[[#This Row],[2009]:[2023]])</f>
        <v>83</v>
      </c>
    </row>
    <row r="24" spans="1:16" ht="25.5" x14ac:dyDescent="0.25">
      <c r="A24" t="s">
        <v>69</v>
      </c>
      <c r="C24" s="4" t="s">
        <v>65</v>
      </c>
      <c r="D24" s="12">
        <v>107</v>
      </c>
      <c r="E24" s="12">
        <v>122</v>
      </c>
      <c r="F24" s="12">
        <v>128</v>
      </c>
      <c r="G24" s="13">
        <v>163</v>
      </c>
      <c r="H24" s="13">
        <v>174</v>
      </c>
      <c r="I24" s="18">
        <v>284</v>
      </c>
      <c r="J24" s="13">
        <v>131</v>
      </c>
      <c r="K24">
        <f>AVERAGE(Tabella25[[#This Row],[2009]:[2023]])</f>
        <v>158.42857142857142</v>
      </c>
      <c r="L24">
        <f>MAX(Tabella25[[#This Row],[2009]:[2023]])</f>
        <v>284</v>
      </c>
      <c r="M24">
        <f>MIN(Tabella25[[#This Row],[2009]:[2023]])</f>
        <v>107</v>
      </c>
    </row>
    <row r="25" spans="1:16" ht="25.5" x14ac:dyDescent="0.25">
      <c r="A25" t="s">
        <v>69</v>
      </c>
      <c r="C25" s="5" t="s">
        <v>66</v>
      </c>
      <c r="D25" s="14">
        <v>126</v>
      </c>
      <c r="E25" s="14">
        <v>130</v>
      </c>
      <c r="F25" s="14">
        <v>136</v>
      </c>
      <c r="G25" s="15">
        <v>175</v>
      </c>
      <c r="H25" s="15">
        <v>187</v>
      </c>
      <c r="I25" s="15">
        <v>282</v>
      </c>
      <c r="J25" s="15">
        <v>164</v>
      </c>
      <c r="K25">
        <f>AVERAGE(Tabella25[[#This Row],[2009]:[2023]])</f>
        <v>171.42857142857142</v>
      </c>
      <c r="L25">
        <f>MAX(Tabella25[[#This Row],[2009]:[2023]])</f>
        <v>282</v>
      </c>
      <c r="M25">
        <f>MIN(Tabella25[[#This Row],[2009]:[2023]])</f>
        <v>126</v>
      </c>
    </row>
    <row r="26" spans="1:16" x14ac:dyDescent="0.25">
      <c r="A26" t="s">
        <v>36</v>
      </c>
      <c r="C26" s="4" t="s">
        <v>55</v>
      </c>
      <c r="D26" s="12">
        <v>148</v>
      </c>
      <c r="E26" s="12">
        <v>202</v>
      </c>
      <c r="F26" s="12">
        <v>198</v>
      </c>
      <c r="G26" s="13">
        <v>180</v>
      </c>
      <c r="H26" s="13">
        <v>207</v>
      </c>
      <c r="I26" s="13">
        <v>296</v>
      </c>
      <c r="J26" s="13">
        <v>330</v>
      </c>
      <c r="K26">
        <f>AVERAGE(Tabella25[[#This Row],[2009]:[2023]])</f>
        <v>223</v>
      </c>
      <c r="L26">
        <f>MAX(Tabella25[[#This Row],[2009]:[2023]])</f>
        <v>330</v>
      </c>
      <c r="M26">
        <f>MIN(Tabella25[[#This Row],[2009]:[2023]])</f>
        <v>148</v>
      </c>
      <c r="N26">
        <f>AVERAGE(D26:J37)</f>
        <v>219.30136986301369</v>
      </c>
      <c r="O26" s="1">
        <f t="shared" ref="O26" si="6">MAX(D26:J37)</f>
        <v>378</v>
      </c>
      <c r="P26" s="1">
        <f t="shared" ref="P26" si="7">MIN(D26:J37)</f>
        <v>125</v>
      </c>
    </row>
    <row r="27" spans="1:16" x14ac:dyDescent="0.25">
      <c r="A27" t="s">
        <v>36</v>
      </c>
      <c r="C27" s="5" t="s">
        <v>56</v>
      </c>
      <c r="D27" s="14">
        <v>148</v>
      </c>
      <c r="E27" s="14">
        <v>199</v>
      </c>
      <c r="F27" s="14">
        <v>197</v>
      </c>
      <c r="G27" s="15">
        <v>183</v>
      </c>
      <c r="H27" s="15">
        <v>222</v>
      </c>
      <c r="I27" s="15">
        <v>291</v>
      </c>
      <c r="J27" s="15">
        <v>321</v>
      </c>
      <c r="K27">
        <f>AVERAGE(Tabella25[[#This Row],[2009]:[2023]])</f>
        <v>223</v>
      </c>
      <c r="L27">
        <f>MAX(Tabella25[[#This Row],[2009]:[2023]])</f>
        <v>321</v>
      </c>
      <c r="M27">
        <f>MIN(Tabella25[[#This Row],[2009]:[2023]])</f>
        <v>148</v>
      </c>
      <c r="O27">
        <f>O26/N26</f>
        <v>1.7236554438128553</v>
      </c>
      <c r="P27">
        <f>P26/N26</f>
        <v>0.56999187956774322</v>
      </c>
    </row>
    <row r="28" spans="1:16" x14ac:dyDescent="0.25">
      <c r="A28" t="s">
        <v>36</v>
      </c>
      <c r="C28" s="4" t="s">
        <v>57</v>
      </c>
      <c r="D28" s="12">
        <v>140</v>
      </c>
      <c r="E28" s="12">
        <v>209</v>
      </c>
      <c r="F28" s="12">
        <v>191</v>
      </c>
      <c r="G28" s="13">
        <v>185</v>
      </c>
      <c r="H28" s="13">
        <v>222</v>
      </c>
      <c r="I28" s="13">
        <v>368</v>
      </c>
      <c r="J28" s="13">
        <v>302</v>
      </c>
      <c r="K28">
        <f>AVERAGE(Tabella25[[#This Row],[2009]:[2023]])</f>
        <v>231</v>
      </c>
      <c r="L28">
        <f>MAX(Tabella25[[#This Row],[2009]:[2023]])</f>
        <v>368</v>
      </c>
      <c r="M28">
        <f>MIN(Tabella25[[#This Row],[2009]:[2023]])</f>
        <v>140</v>
      </c>
    </row>
    <row r="29" spans="1:16" x14ac:dyDescent="0.25">
      <c r="A29" t="s">
        <v>36</v>
      </c>
      <c r="C29" s="5" t="s">
        <v>58</v>
      </c>
      <c r="D29" s="14">
        <v>138</v>
      </c>
      <c r="E29" s="14">
        <v>213</v>
      </c>
      <c r="F29" s="14">
        <v>190</v>
      </c>
      <c r="G29" s="15">
        <v>185</v>
      </c>
      <c r="H29" s="15">
        <v>226</v>
      </c>
      <c r="I29" s="16">
        <v>378</v>
      </c>
      <c r="J29" s="15">
        <v>282</v>
      </c>
      <c r="K29">
        <f>AVERAGE(Tabella25[[#This Row],[2009]:[2023]])</f>
        <v>230.28571428571428</v>
      </c>
      <c r="L29">
        <f>MAX(Tabella25[[#This Row],[2009]:[2023]])</f>
        <v>378</v>
      </c>
      <c r="M29">
        <f>MIN(Tabella25[[#This Row],[2009]:[2023]])</f>
        <v>138</v>
      </c>
    </row>
    <row r="30" spans="1:16" x14ac:dyDescent="0.25">
      <c r="A30" t="s">
        <v>36</v>
      </c>
      <c r="C30" s="4" t="s">
        <v>59</v>
      </c>
      <c r="D30" s="12">
        <v>161</v>
      </c>
      <c r="E30" s="12">
        <v>213</v>
      </c>
      <c r="F30" s="12">
        <v>187</v>
      </c>
      <c r="G30" s="13">
        <v>184</v>
      </c>
      <c r="H30" s="13">
        <v>248</v>
      </c>
      <c r="I30" s="18">
        <v>378</v>
      </c>
      <c r="J30" s="13">
        <v>270</v>
      </c>
      <c r="K30">
        <f>AVERAGE(Tabella25[[#This Row],[2009]:[2023]])</f>
        <v>234.42857142857142</v>
      </c>
      <c r="L30">
        <f>MAX(Tabella25[[#This Row],[2009]:[2023]])</f>
        <v>378</v>
      </c>
      <c r="M30">
        <f>MIN(Tabella25[[#This Row],[2009]:[2023]])</f>
        <v>161</v>
      </c>
    </row>
    <row r="31" spans="1:16" x14ac:dyDescent="0.25">
      <c r="A31" t="s">
        <v>36</v>
      </c>
      <c r="C31" s="5" t="s">
        <v>60</v>
      </c>
      <c r="D31" s="14">
        <v>165</v>
      </c>
      <c r="E31" s="14">
        <v>214</v>
      </c>
      <c r="F31" s="14">
        <v>187</v>
      </c>
      <c r="G31" s="15">
        <v>189</v>
      </c>
      <c r="H31" s="15">
        <v>249</v>
      </c>
      <c r="I31" s="15"/>
      <c r="J31" s="15"/>
      <c r="K31">
        <f>AVERAGE(Tabella25[[#This Row],[2009]:[2023]])</f>
        <v>200.8</v>
      </c>
      <c r="L31">
        <f>MAX(Tabella25[[#This Row],[2009]:[2023]])</f>
        <v>249</v>
      </c>
      <c r="M31">
        <f>MIN(Tabella25[[#This Row],[2009]:[2023]])</f>
        <v>165</v>
      </c>
    </row>
    <row r="32" spans="1:16" x14ac:dyDescent="0.25">
      <c r="A32" t="s">
        <v>36</v>
      </c>
      <c r="C32" s="4" t="s">
        <v>61</v>
      </c>
      <c r="D32" s="12"/>
      <c r="E32" s="12"/>
      <c r="F32" s="12">
        <v>187</v>
      </c>
      <c r="G32" s="13">
        <v>191</v>
      </c>
      <c r="H32" s="13"/>
      <c r="I32" s="13"/>
      <c r="J32" s="13"/>
      <c r="K32">
        <f>AVERAGE(Tabella25[[#This Row],[2009]:[2023]])</f>
        <v>189</v>
      </c>
      <c r="L32">
        <f>MAX(Tabella25[[#This Row],[2009]:[2023]])</f>
        <v>191</v>
      </c>
      <c r="M32">
        <f>MIN(Tabella25[[#This Row],[2009]:[2023]])</f>
        <v>187</v>
      </c>
    </row>
    <row r="33" spans="1:16" x14ac:dyDescent="0.25">
      <c r="A33" t="s">
        <v>36</v>
      </c>
      <c r="C33" s="5" t="s">
        <v>62</v>
      </c>
      <c r="D33" s="19">
        <v>125</v>
      </c>
      <c r="E33" s="14"/>
      <c r="F33" s="14"/>
      <c r="G33" s="15">
        <v>180</v>
      </c>
      <c r="H33" s="15"/>
      <c r="I33" s="15">
        <v>363</v>
      </c>
      <c r="J33" s="15"/>
      <c r="K33">
        <f>AVERAGE(Tabella25[[#This Row],[2009]:[2023]])</f>
        <v>222.66666666666666</v>
      </c>
      <c r="L33">
        <f>MAX(Tabella25[[#This Row],[2009]:[2023]])</f>
        <v>363</v>
      </c>
      <c r="M33">
        <f>MIN(Tabella25[[#This Row],[2009]:[2023]])</f>
        <v>125</v>
      </c>
    </row>
    <row r="34" spans="1:16" ht="25.5" x14ac:dyDescent="0.25">
      <c r="A34" t="s">
        <v>36</v>
      </c>
      <c r="C34" s="4" t="s">
        <v>63</v>
      </c>
      <c r="D34" s="17">
        <v>125</v>
      </c>
      <c r="E34" s="12">
        <v>160</v>
      </c>
      <c r="F34" s="12">
        <v>167</v>
      </c>
      <c r="G34" s="13">
        <v>176</v>
      </c>
      <c r="H34" s="13">
        <v>251</v>
      </c>
      <c r="I34" s="13">
        <v>357</v>
      </c>
      <c r="J34" s="13">
        <v>213</v>
      </c>
      <c r="K34">
        <f>AVERAGE(Tabella25[[#This Row],[2009]:[2023]])</f>
        <v>207</v>
      </c>
      <c r="L34">
        <f>MAX(Tabella25[[#This Row],[2009]:[2023]])</f>
        <v>357</v>
      </c>
      <c r="M34">
        <f>MIN(Tabella25[[#This Row],[2009]:[2023]])</f>
        <v>125</v>
      </c>
    </row>
    <row r="35" spans="1:16" x14ac:dyDescent="0.25">
      <c r="A35" t="s">
        <v>36</v>
      </c>
      <c r="C35" s="5" t="s">
        <v>64</v>
      </c>
      <c r="D35" s="14">
        <v>134</v>
      </c>
      <c r="E35" s="14">
        <v>160</v>
      </c>
      <c r="F35" s="14">
        <v>168</v>
      </c>
      <c r="G35" s="15">
        <v>176</v>
      </c>
      <c r="H35" s="15">
        <v>274</v>
      </c>
      <c r="I35" s="15">
        <v>357</v>
      </c>
      <c r="J35" s="15">
        <v>200</v>
      </c>
      <c r="K35">
        <f>AVERAGE(Tabella25[[#This Row],[2009]:[2023]])</f>
        <v>209.85714285714286</v>
      </c>
      <c r="L35">
        <f>MAX(Tabella25[[#This Row],[2009]:[2023]])</f>
        <v>357</v>
      </c>
      <c r="M35">
        <f>MIN(Tabella25[[#This Row],[2009]:[2023]])</f>
        <v>134</v>
      </c>
    </row>
    <row r="36" spans="1:16" ht="25.5" x14ac:dyDescent="0.25">
      <c r="A36" t="s">
        <v>36</v>
      </c>
      <c r="C36" s="4" t="s">
        <v>65</v>
      </c>
      <c r="D36" s="12">
        <v>142</v>
      </c>
      <c r="E36" s="12">
        <v>169</v>
      </c>
      <c r="F36" s="12">
        <v>173</v>
      </c>
      <c r="G36" s="13">
        <v>186</v>
      </c>
      <c r="H36" s="13">
        <v>293</v>
      </c>
      <c r="I36" s="13">
        <v>353</v>
      </c>
      <c r="J36" s="13">
        <v>206</v>
      </c>
      <c r="K36">
        <f>AVERAGE(Tabella25[[#This Row],[2009]:[2023]])</f>
        <v>217.42857142857142</v>
      </c>
      <c r="L36">
        <f>MAX(Tabella25[[#This Row],[2009]:[2023]])</f>
        <v>353</v>
      </c>
      <c r="M36">
        <f>MIN(Tabella25[[#This Row],[2009]:[2023]])</f>
        <v>142</v>
      </c>
    </row>
    <row r="37" spans="1:16" ht="25.5" x14ac:dyDescent="0.25">
      <c r="A37" t="s">
        <v>36</v>
      </c>
      <c r="C37" s="5" t="s">
        <v>66</v>
      </c>
      <c r="D37" s="14">
        <v>146</v>
      </c>
      <c r="E37" s="14">
        <v>172</v>
      </c>
      <c r="F37" s="14">
        <v>175</v>
      </c>
      <c r="G37" s="15">
        <v>190</v>
      </c>
      <c r="H37" s="15">
        <v>298</v>
      </c>
      <c r="I37" s="15">
        <v>332</v>
      </c>
      <c r="J37" s="15">
        <v>214</v>
      </c>
      <c r="K37">
        <f>AVERAGE(Tabella25[[#This Row],[2009]:[2023]])</f>
        <v>218.14285714285714</v>
      </c>
      <c r="L37">
        <f>MAX(Tabella25[[#This Row],[2009]:[2023]])</f>
        <v>332</v>
      </c>
      <c r="M37">
        <f>MIN(Tabella25[[#This Row],[2009]:[2023]])</f>
        <v>146</v>
      </c>
    </row>
    <row r="38" spans="1:16" x14ac:dyDescent="0.25">
      <c r="A38" t="s">
        <v>70</v>
      </c>
      <c r="C38" s="4" t="s">
        <v>55</v>
      </c>
      <c r="D38" s="1"/>
      <c r="E38" s="12">
        <v>209</v>
      </c>
      <c r="F38" s="12">
        <v>175</v>
      </c>
      <c r="G38" s="13">
        <v>163</v>
      </c>
      <c r="H38" s="13">
        <v>208</v>
      </c>
      <c r="I38" s="13">
        <v>234</v>
      </c>
      <c r="J38" s="13">
        <v>325</v>
      </c>
      <c r="K38">
        <f>AVERAGE(Tabella25[[#This Row],[2009]:[2023]])</f>
        <v>219</v>
      </c>
      <c r="L38">
        <f>MAX(Tabella25[[#This Row],[2009]:[2023]])</f>
        <v>325</v>
      </c>
      <c r="M38">
        <f>MIN(Tabella25[[#This Row],[2009]:[2023]])</f>
        <v>163</v>
      </c>
      <c r="N38">
        <f>AVERAGE(D38:J49)</f>
        <v>231.52777777777777</v>
      </c>
      <c r="O38" s="1">
        <f t="shared" ref="O38" si="8">MAX(D38:J49)</f>
        <v>350</v>
      </c>
      <c r="P38" s="1">
        <f t="shared" ref="P38" si="9">MIN(D38:J49)</f>
        <v>154</v>
      </c>
    </row>
    <row r="39" spans="1:16" x14ac:dyDescent="0.25">
      <c r="A39" t="s">
        <v>70</v>
      </c>
      <c r="C39" s="5" t="s">
        <v>56</v>
      </c>
      <c r="D39" s="1"/>
      <c r="E39" s="14">
        <v>204</v>
      </c>
      <c r="F39" s="14">
        <v>173</v>
      </c>
      <c r="G39" s="15">
        <v>166</v>
      </c>
      <c r="H39" s="15">
        <v>230</v>
      </c>
      <c r="I39" s="15">
        <v>240</v>
      </c>
      <c r="J39" s="15">
        <v>328</v>
      </c>
      <c r="K39">
        <f>AVERAGE(Tabella25[[#This Row],[2009]:[2023]])</f>
        <v>223.5</v>
      </c>
      <c r="L39">
        <f>MAX(Tabella25[[#This Row],[2009]:[2023]])</f>
        <v>328</v>
      </c>
      <c r="M39">
        <f>MIN(Tabella25[[#This Row],[2009]:[2023]])</f>
        <v>166</v>
      </c>
      <c r="O39">
        <f>O38/N38</f>
        <v>1.5116976604679064</v>
      </c>
      <c r="P39">
        <f>P38/N38</f>
        <v>0.6651469706058788</v>
      </c>
    </row>
    <row r="40" spans="1:16" x14ac:dyDescent="0.25">
      <c r="A40" t="s">
        <v>70</v>
      </c>
      <c r="C40" s="4" t="s">
        <v>57</v>
      </c>
      <c r="D40" s="1"/>
      <c r="E40" s="12">
        <v>204</v>
      </c>
      <c r="F40" s="12">
        <v>173</v>
      </c>
      <c r="G40" s="13">
        <v>166</v>
      </c>
      <c r="H40" s="13">
        <v>233</v>
      </c>
      <c r="I40" s="13">
        <v>317</v>
      </c>
      <c r="J40" s="13">
        <v>330</v>
      </c>
      <c r="K40">
        <f>AVERAGE(Tabella25[[#This Row],[2009]:[2023]])</f>
        <v>237.16666666666666</v>
      </c>
      <c r="L40">
        <f>MAX(Tabella25[[#This Row],[2009]:[2023]])</f>
        <v>330</v>
      </c>
      <c r="M40">
        <f>MIN(Tabella25[[#This Row],[2009]:[2023]])</f>
        <v>166</v>
      </c>
    </row>
    <row r="41" spans="1:16" x14ac:dyDescent="0.25">
      <c r="A41" t="s">
        <v>70</v>
      </c>
      <c r="C41" s="5" t="s">
        <v>58</v>
      </c>
      <c r="D41" s="1"/>
      <c r="E41" s="14">
        <v>207</v>
      </c>
      <c r="F41" s="14">
        <v>173</v>
      </c>
      <c r="G41" s="15">
        <v>169</v>
      </c>
      <c r="H41" s="15">
        <v>237</v>
      </c>
      <c r="I41" s="15">
        <v>344</v>
      </c>
      <c r="J41" s="15">
        <v>333</v>
      </c>
      <c r="K41">
        <f>AVERAGE(Tabella25[[#This Row],[2009]:[2023]])</f>
        <v>243.83333333333334</v>
      </c>
      <c r="L41">
        <f>MAX(Tabella25[[#This Row],[2009]:[2023]])</f>
        <v>344</v>
      </c>
      <c r="M41">
        <f>MIN(Tabella25[[#This Row],[2009]:[2023]])</f>
        <v>169</v>
      </c>
    </row>
    <row r="42" spans="1:16" x14ac:dyDescent="0.25">
      <c r="A42" t="s">
        <v>70</v>
      </c>
      <c r="C42" s="4" t="s">
        <v>59</v>
      </c>
      <c r="D42" s="1"/>
      <c r="E42" s="12">
        <v>201</v>
      </c>
      <c r="F42" s="12">
        <v>173</v>
      </c>
      <c r="G42" s="13">
        <v>169</v>
      </c>
      <c r="H42" s="13">
        <v>246</v>
      </c>
      <c r="I42" s="18">
        <v>350</v>
      </c>
      <c r="J42" s="13">
        <v>328</v>
      </c>
      <c r="K42">
        <f>AVERAGE(Tabella25[[#This Row],[2009]:[2023]])</f>
        <v>244.5</v>
      </c>
      <c r="L42">
        <f>MAX(Tabella25[[#This Row],[2009]:[2023]])</f>
        <v>350</v>
      </c>
      <c r="M42">
        <f>MIN(Tabella25[[#This Row],[2009]:[2023]])</f>
        <v>169</v>
      </c>
    </row>
    <row r="43" spans="1:16" x14ac:dyDescent="0.25">
      <c r="A43" t="s">
        <v>70</v>
      </c>
      <c r="C43" s="5" t="s">
        <v>60</v>
      </c>
      <c r="D43" s="1"/>
      <c r="E43" s="14">
        <v>197</v>
      </c>
      <c r="F43" s="14">
        <v>174</v>
      </c>
      <c r="G43" s="15">
        <v>171</v>
      </c>
      <c r="H43" s="15">
        <v>241</v>
      </c>
      <c r="I43" s="15">
        <v>333</v>
      </c>
      <c r="J43" s="15">
        <v>318</v>
      </c>
      <c r="K43">
        <f>AVERAGE(Tabella25[[#This Row],[2009]:[2023]])</f>
        <v>239</v>
      </c>
      <c r="L43">
        <f>MAX(Tabella25[[#This Row],[2009]:[2023]])</f>
        <v>333</v>
      </c>
      <c r="M43">
        <f>MIN(Tabella25[[#This Row],[2009]:[2023]])</f>
        <v>171</v>
      </c>
    </row>
    <row r="44" spans="1:16" x14ac:dyDescent="0.25">
      <c r="A44" t="s">
        <v>70</v>
      </c>
      <c r="C44" s="4" t="s">
        <v>61</v>
      </c>
      <c r="D44" s="1"/>
      <c r="E44" s="12">
        <v>188</v>
      </c>
      <c r="F44" s="12">
        <v>174</v>
      </c>
      <c r="G44" s="13">
        <v>171</v>
      </c>
      <c r="H44" s="13">
        <v>242</v>
      </c>
      <c r="I44" s="13">
        <v>334</v>
      </c>
      <c r="J44" s="13">
        <v>323</v>
      </c>
      <c r="K44">
        <f>AVERAGE(Tabella25[[#This Row],[2009]:[2023]])</f>
        <v>238.66666666666666</v>
      </c>
      <c r="L44">
        <f>MAX(Tabella25[[#This Row],[2009]:[2023]])</f>
        <v>334</v>
      </c>
      <c r="M44">
        <f>MIN(Tabella25[[#This Row],[2009]:[2023]])</f>
        <v>171</v>
      </c>
    </row>
    <row r="45" spans="1:16" x14ac:dyDescent="0.25">
      <c r="A45" t="s">
        <v>70</v>
      </c>
      <c r="C45" s="5" t="s">
        <v>62</v>
      </c>
      <c r="D45" s="1"/>
      <c r="E45" s="14">
        <v>183</v>
      </c>
      <c r="F45" s="14">
        <v>174</v>
      </c>
      <c r="G45" s="15">
        <v>171</v>
      </c>
      <c r="H45" s="15">
        <v>246</v>
      </c>
      <c r="I45" s="15">
        <v>344</v>
      </c>
      <c r="J45" s="15">
        <v>323</v>
      </c>
      <c r="K45">
        <f>AVERAGE(Tabella25[[#This Row],[2009]:[2023]])</f>
        <v>240.16666666666666</v>
      </c>
      <c r="L45">
        <f>MAX(Tabella25[[#This Row],[2009]:[2023]])</f>
        <v>344</v>
      </c>
      <c r="M45">
        <f>MIN(Tabella25[[#This Row],[2009]:[2023]])</f>
        <v>171</v>
      </c>
    </row>
    <row r="46" spans="1:16" ht="25.5" x14ac:dyDescent="0.25">
      <c r="A46" t="s">
        <v>70</v>
      </c>
      <c r="C46" s="4" t="s">
        <v>63</v>
      </c>
      <c r="D46" s="1"/>
      <c r="E46" s="12">
        <v>171</v>
      </c>
      <c r="F46" s="12">
        <v>173</v>
      </c>
      <c r="G46" s="13">
        <v>170</v>
      </c>
      <c r="H46" s="13">
        <v>235</v>
      </c>
      <c r="I46" s="13">
        <v>341</v>
      </c>
      <c r="J46" s="13">
        <v>295</v>
      </c>
      <c r="K46">
        <f>AVERAGE(Tabella25[[#This Row],[2009]:[2023]])</f>
        <v>230.83333333333334</v>
      </c>
      <c r="L46">
        <f>MAX(Tabella25[[#This Row],[2009]:[2023]])</f>
        <v>341</v>
      </c>
      <c r="M46">
        <f>MIN(Tabella25[[#This Row],[2009]:[2023]])</f>
        <v>170</v>
      </c>
    </row>
    <row r="47" spans="1:16" x14ac:dyDescent="0.25">
      <c r="A47" t="s">
        <v>70</v>
      </c>
      <c r="C47" s="5" t="s">
        <v>64</v>
      </c>
      <c r="D47" s="1"/>
      <c r="E47" s="19">
        <v>154</v>
      </c>
      <c r="F47" s="14">
        <v>169</v>
      </c>
      <c r="G47" s="15">
        <v>174</v>
      </c>
      <c r="H47" s="15">
        <v>233</v>
      </c>
      <c r="I47" s="15">
        <v>343</v>
      </c>
      <c r="J47" s="15">
        <v>261</v>
      </c>
      <c r="K47">
        <f>AVERAGE(Tabella25[[#This Row],[2009]:[2023]])</f>
        <v>222.33333333333334</v>
      </c>
      <c r="L47">
        <f>MAX(Tabella25[[#This Row],[2009]:[2023]])</f>
        <v>343</v>
      </c>
      <c r="M47">
        <f>MIN(Tabella25[[#This Row],[2009]:[2023]])</f>
        <v>154</v>
      </c>
    </row>
    <row r="48" spans="1:16" ht="25.5" x14ac:dyDescent="0.25">
      <c r="A48" t="s">
        <v>70</v>
      </c>
      <c r="C48" s="4" t="s">
        <v>65</v>
      </c>
      <c r="D48" s="1"/>
      <c r="E48" s="12">
        <v>157</v>
      </c>
      <c r="F48" s="12">
        <v>163</v>
      </c>
      <c r="G48" s="13">
        <v>181</v>
      </c>
      <c r="H48" s="13">
        <v>229</v>
      </c>
      <c r="I48" s="13">
        <v>339</v>
      </c>
      <c r="J48" s="13">
        <v>253</v>
      </c>
      <c r="K48">
        <f>AVERAGE(Tabella25[[#This Row],[2009]:[2023]])</f>
        <v>220.33333333333334</v>
      </c>
      <c r="L48">
        <f>MAX(Tabella25[[#This Row],[2009]:[2023]])</f>
        <v>339</v>
      </c>
      <c r="M48">
        <f>MIN(Tabella25[[#This Row],[2009]:[2023]])</f>
        <v>157</v>
      </c>
    </row>
    <row r="49" spans="1:16" ht="25.5" x14ac:dyDescent="0.25">
      <c r="A49" t="s">
        <v>70</v>
      </c>
      <c r="C49" s="5" t="s">
        <v>66</v>
      </c>
      <c r="D49" s="1"/>
      <c r="E49" s="14">
        <v>158</v>
      </c>
      <c r="F49" s="14">
        <v>163</v>
      </c>
      <c r="G49" s="15">
        <v>188</v>
      </c>
      <c r="H49" s="15">
        <v>229</v>
      </c>
      <c r="I49" s="15">
        <v>323</v>
      </c>
      <c r="J49" s="15">
        <v>253</v>
      </c>
      <c r="K49">
        <f>AVERAGE(Tabella25[[#This Row],[2009]:[2023]])</f>
        <v>219</v>
      </c>
      <c r="L49">
        <f>MAX(Tabella25[[#This Row],[2009]:[2023]])</f>
        <v>323</v>
      </c>
      <c r="M49">
        <f>MIN(Tabella25[[#This Row],[2009]:[2023]])</f>
        <v>158</v>
      </c>
    </row>
    <row r="50" spans="1:16" x14ac:dyDescent="0.25">
      <c r="A50" t="s">
        <v>71</v>
      </c>
      <c r="C50" s="4" t="s">
        <v>55</v>
      </c>
      <c r="D50" s="12">
        <v>163</v>
      </c>
      <c r="E50" s="12">
        <v>194</v>
      </c>
      <c r="F50" s="17">
        <v>154</v>
      </c>
      <c r="G50" s="13">
        <v>191</v>
      </c>
      <c r="H50" s="13">
        <v>214</v>
      </c>
      <c r="I50" s="13">
        <v>222</v>
      </c>
      <c r="J50" s="13">
        <v>340</v>
      </c>
      <c r="K50">
        <f>AVERAGE(Tabella25[[#This Row],[2009]:[2023]])</f>
        <v>211.14285714285714</v>
      </c>
      <c r="L50">
        <f>MAX(Tabella25[[#This Row],[2009]:[2023]])</f>
        <v>340</v>
      </c>
      <c r="M50">
        <f>MIN(Tabella25[[#This Row],[2009]:[2023]])</f>
        <v>154</v>
      </c>
      <c r="N50">
        <f>AVERAGE(D50:J61)</f>
        <v>223.48809523809524</v>
      </c>
      <c r="O50" s="1">
        <f t="shared" ref="O50" si="10">MAX(D50:J61)</f>
        <v>348</v>
      </c>
      <c r="P50" s="1">
        <f t="shared" ref="P50" si="11">MIN(D50:J61)</f>
        <v>154</v>
      </c>
    </row>
    <row r="51" spans="1:16" x14ac:dyDescent="0.25">
      <c r="A51" t="s">
        <v>71</v>
      </c>
      <c r="C51" s="5" t="s">
        <v>56</v>
      </c>
      <c r="D51" s="14">
        <v>165</v>
      </c>
      <c r="E51" s="14">
        <v>194</v>
      </c>
      <c r="F51" s="14">
        <v>155</v>
      </c>
      <c r="G51" s="15">
        <v>197</v>
      </c>
      <c r="H51" s="15">
        <v>215</v>
      </c>
      <c r="I51" s="15">
        <v>225</v>
      </c>
      <c r="J51" s="15">
        <v>333</v>
      </c>
      <c r="K51">
        <f>AVERAGE(Tabella25[[#This Row],[2009]:[2023]])</f>
        <v>212</v>
      </c>
      <c r="L51">
        <f>MAX(Tabella25[[#This Row],[2009]:[2023]])</f>
        <v>333</v>
      </c>
      <c r="M51">
        <f>MIN(Tabella25[[#This Row],[2009]:[2023]])</f>
        <v>155</v>
      </c>
      <c r="O51">
        <f>O50/N50</f>
        <v>1.557129920630693</v>
      </c>
      <c r="P51">
        <f>P50/N50</f>
        <v>0.68907473499174343</v>
      </c>
    </row>
    <row r="52" spans="1:16" x14ac:dyDescent="0.25">
      <c r="A52" t="s">
        <v>71</v>
      </c>
      <c r="C52" s="4" t="s">
        <v>57</v>
      </c>
      <c r="D52" s="12">
        <v>166</v>
      </c>
      <c r="E52" s="12">
        <v>194</v>
      </c>
      <c r="F52" s="12">
        <v>155</v>
      </c>
      <c r="G52" s="13">
        <v>200</v>
      </c>
      <c r="H52" s="13">
        <v>216</v>
      </c>
      <c r="I52" s="13">
        <v>235</v>
      </c>
      <c r="J52" s="13">
        <v>325</v>
      </c>
      <c r="K52">
        <f>AVERAGE(Tabella25[[#This Row],[2009]:[2023]])</f>
        <v>213</v>
      </c>
      <c r="L52">
        <f>MAX(Tabella25[[#This Row],[2009]:[2023]])</f>
        <v>325</v>
      </c>
      <c r="M52">
        <f>MIN(Tabella25[[#This Row],[2009]:[2023]])</f>
        <v>155</v>
      </c>
    </row>
    <row r="53" spans="1:16" x14ac:dyDescent="0.25">
      <c r="A53" t="s">
        <v>71</v>
      </c>
      <c r="C53" s="5" t="s">
        <v>58</v>
      </c>
      <c r="D53" s="14">
        <v>166</v>
      </c>
      <c r="E53" s="14">
        <v>193</v>
      </c>
      <c r="F53" s="14">
        <v>159</v>
      </c>
      <c r="G53" s="15">
        <v>208</v>
      </c>
      <c r="H53" s="15">
        <v>218</v>
      </c>
      <c r="I53" s="15">
        <v>254</v>
      </c>
      <c r="J53" s="15">
        <v>325</v>
      </c>
      <c r="K53">
        <f>AVERAGE(Tabella25[[#This Row],[2009]:[2023]])</f>
        <v>217.57142857142858</v>
      </c>
      <c r="L53">
        <f>MAX(Tabella25[[#This Row],[2009]:[2023]])</f>
        <v>325</v>
      </c>
      <c r="M53">
        <f>MIN(Tabella25[[#This Row],[2009]:[2023]])</f>
        <v>159</v>
      </c>
    </row>
    <row r="54" spans="1:16" x14ac:dyDescent="0.25">
      <c r="A54" t="s">
        <v>71</v>
      </c>
      <c r="C54" s="4" t="s">
        <v>59</v>
      </c>
      <c r="D54" s="12">
        <v>166</v>
      </c>
      <c r="E54" s="12">
        <v>193</v>
      </c>
      <c r="F54" s="12">
        <v>167</v>
      </c>
      <c r="G54" s="13">
        <v>210</v>
      </c>
      <c r="H54" s="13">
        <v>218</v>
      </c>
      <c r="I54" s="13">
        <v>281</v>
      </c>
      <c r="J54" s="13">
        <v>322</v>
      </c>
      <c r="K54">
        <f>AVERAGE(Tabella25[[#This Row],[2009]:[2023]])</f>
        <v>222.42857142857142</v>
      </c>
      <c r="L54">
        <f>MAX(Tabella25[[#This Row],[2009]:[2023]])</f>
        <v>322</v>
      </c>
      <c r="M54">
        <f>MIN(Tabella25[[#This Row],[2009]:[2023]])</f>
        <v>166</v>
      </c>
    </row>
    <row r="55" spans="1:16" x14ac:dyDescent="0.25">
      <c r="A55" t="s">
        <v>71</v>
      </c>
      <c r="C55" s="5" t="s">
        <v>60</v>
      </c>
      <c r="D55" s="14">
        <v>166</v>
      </c>
      <c r="E55" s="14">
        <v>193</v>
      </c>
      <c r="F55" s="14">
        <v>168</v>
      </c>
      <c r="G55" s="15">
        <v>210</v>
      </c>
      <c r="H55" s="15">
        <v>217</v>
      </c>
      <c r="I55" s="15">
        <v>313</v>
      </c>
      <c r="J55" s="15">
        <v>318</v>
      </c>
      <c r="K55">
        <f>AVERAGE(Tabella25[[#This Row],[2009]:[2023]])</f>
        <v>226.42857142857142</v>
      </c>
      <c r="L55">
        <f>MAX(Tabella25[[#This Row],[2009]:[2023]])</f>
        <v>318</v>
      </c>
      <c r="M55">
        <f>MIN(Tabella25[[#This Row],[2009]:[2023]])</f>
        <v>166</v>
      </c>
    </row>
    <row r="56" spans="1:16" x14ac:dyDescent="0.25">
      <c r="A56" t="s">
        <v>71</v>
      </c>
      <c r="C56" s="4" t="s">
        <v>61</v>
      </c>
      <c r="D56" s="12">
        <v>166</v>
      </c>
      <c r="E56" s="12">
        <v>192</v>
      </c>
      <c r="F56" s="12">
        <v>168</v>
      </c>
      <c r="G56" s="13">
        <v>210</v>
      </c>
      <c r="H56" s="13">
        <v>216</v>
      </c>
      <c r="I56" s="13">
        <v>323</v>
      </c>
      <c r="J56" s="13">
        <v>315</v>
      </c>
      <c r="K56">
        <f>AVERAGE(Tabella25[[#This Row],[2009]:[2023]])</f>
        <v>227.14285714285714</v>
      </c>
      <c r="L56">
        <f>MAX(Tabella25[[#This Row],[2009]:[2023]])</f>
        <v>323</v>
      </c>
      <c r="M56">
        <f>MIN(Tabella25[[#This Row],[2009]:[2023]])</f>
        <v>166</v>
      </c>
    </row>
    <row r="57" spans="1:16" x14ac:dyDescent="0.25">
      <c r="A57" t="s">
        <v>71</v>
      </c>
      <c r="C57" s="5" t="s">
        <v>62</v>
      </c>
      <c r="D57" s="14">
        <v>162</v>
      </c>
      <c r="E57" s="14">
        <v>192</v>
      </c>
      <c r="F57" s="14">
        <v>168</v>
      </c>
      <c r="G57" s="15">
        <v>210</v>
      </c>
      <c r="H57" s="15">
        <v>216</v>
      </c>
      <c r="I57" s="15">
        <v>328</v>
      </c>
      <c r="J57" s="15">
        <v>315</v>
      </c>
      <c r="K57">
        <f>AVERAGE(Tabella25[[#This Row],[2009]:[2023]])</f>
        <v>227.28571428571428</v>
      </c>
      <c r="L57">
        <f>MAX(Tabella25[[#This Row],[2009]:[2023]])</f>
        <v>328</v>
      </c>
      <c r="M57">
        <f>MIN(Tabella25[[#This Row],[2009]:[2023]])</f>
        <v>162</v>
      </c>
    </row>
    <row r="58" spans="1:16" ht="25.5" x14ac:dyDescent="0.25">
      <c r="A58" t="s">
        <v>71</v>
      </c>
      <c r="C58" s="4" t="s">
        <v>63</v>
      </c>
      <c r="D58" s="12">
        <v>162</v>
      </c>
      <c r="E58" s="12">
        <v>192</v>
      </c>
      <c r="F58" s="12">
        <v>173</v>
      </c>
      <c r="G58" s="13">
        <v>212</v>
      </c>
      <c r="H58" s="13">
        <v>218</v>
      </c>
      <c r="I58" s="13">
        <v>333</v>
      </c>
      <c r="J58" s="13">
        <v>315</v>
      </c>
      <c r="K58">
        <f>AVERAGE(Tabella25[[#This Row],[2009]:[2023]])</f>
        <v>229.28571428571428</v>
      </c>
      <c r="L58">
        <f>MAX(Tabella25[[#This Row],[2009]:[2023]])</f>
        <v>333</v>
      </c>
      <c r="M58">
        <f>MIN(Tabella25[[#This Row],[2009]:[2023]])</f>
        <v>162</v>
      </c>
    </row>
    <row r="59" spans="1:16" x14ac:dyDescent="0.25">
      <c r="A59" t="s">
        <v>71</v>
      </c>
      <c r="C59" s="5" t="s">
        <v>64</v>
      </c>
      <c r="D59" s="14">
        <v>163</v>
      </c>
      <c r="E59" s="14">
        <v>192</v>
      </c>
      <c r="F59" s="14">
        <v>175</v>
      </c>
      <c r="G59" s="15">
        <v>214</v>
      </c>
      <c r="H59" s="15">
        <v>218</v>
      </c>
      <c r="I59" s="15">
        <v>343</v>
      </c>
      <c r="J59" s="15">
        <v>311</v>
      </c>
      <c r="K59">
        <f>AVERAGE(Tabella25[[#This Row],[2009]:[2023]])</f>
        <v>230.85714285714286</v>
      </c>
      <c r="L59">
        <f>MAX(Tabella25[[#This Row],[2009]:[2023]])</f>
        <v>343</v>
      </c>
      <c r="M59">
        <f>MIN(Tabella25[[#This Row],[2009]:[2023]])</f>
        <v>163</v>
      </c>
    </row>
    <row r="60" spans="1:16" ht="25.5" x14ac:dyDescent="0.25">
      <c r="A60" t="s">
        <v>71</v>
      </c>
      <c r="C60" s="4" t="s">
        <v>65</v>
      </c>
      <c r="D60" s="12">
        <v>163</v>
      </c>
      <c r="E60" s="12">
        <v>192</v>
      </c>
      <c r="F60" s="12">
        <v>181</v>
      </c>
      <c r="G60" s="13">
        <v>212</v>
      </c>
      <c r="H60" s="13">
        <v>218</v>
      </c>
      <c r="I60" s="18">
        <v>348</v>
      </c>
      <c r="J60" s="13">
        <v>310</v>
      </c>
      <c r="K60">
        <f>AVERAGE(Tabella25[[#This Row],[2009]:[2023]])</f>
        <v>232</v>
      </c>
      <c r="L60">
        <f>MAX(Tabella25[[#This Row],[2009]:[2023]])</f>
        <v>348</v>
      </c>
      <c r="M60">
        <f>MIN(Tabella25[[#This Row],[2009]:[2023]])</f>
        <v>163</v>
      </c>
    </row>
    <row r="61" spans="1:16" ht="25.5" x14ac:dyDescent="0.25">
      <c r="A61" t="s">
        <v>71</v>
      </c>
      <c r="C61" s="5" t="s">
        <v>66</v>
      </c>
      <c r="D61" s="14">
        <v>163</v>
      </c>
      <c r="E61" s="14">
        <v>192</v>
      </c>
      <c r="F61" s="14">
        <v>184</v>
      </c>
      <c r="G61" s="15">
        <v>212</v>
      </c>
      <c r="H61" s="15">
        <v>220</v>
      </c>
      <c r="I61" s="16">
        <v>348</v>
      </c>
      <c r="J61" s="15">
        <v>310</v>
      </c>
      <c r="K61">
        <f>AVERAGE(Tabella25[[#This Row],[2009]:[2023]])</f>
        <v>232.71428571428572</v>
      </c>
      <c r="L61">
        <f>MAX(Tabella25[[#This Row],[2009]:[2023]])</f>
        <v>348</v>
      </c>
      <c r="M61">
        <f>MIN(Tabella25[[#This Row],[2009]:[2023]])</f>
        <v>163</v>
      </c>
    </row>
    <row r="62" spans="1:16" x14ac:dyDescent="0.25">
      <c r="A62" t="s">
        <v>72</v>
      </c>
      <c r="C62" s="4" t="s">
        <v>55</v>
      </c>
      <c r="D62" s="12">
        <v>142</v>
      </c>
      <c r="E62" s="12">
        <v>238</v>
      </c>
      <c r="F62" s="12">
        <v>225</v>
      </c>
      <c r="G62" s="13">
        <v>210</v>
      </c>
      <c r="H62" s="13">
        <v>232</v>
      </c>
      <c r="I62" s="13">
        <v>289</v>
      </c>
      <c r="J62" s="13">
        <v>375</v>
      </c>
      <c r="K62">
        <f>AVERAGE(Tabella25[[#This Row],[2009]:[2023]])</f>
        <v>244.42857142857142</v>
      </c>
      <c r="L62">
        <f>MAX(Tabella25[[#This Row],[2009]:[2023]])</f>
        <v>375</v>
      </c>
      <c r="M62">
        <f>MIN(Tabella25[[#This Row],[2009]:[2023]])</f>
        <v>142</v>
      </c>
      <c r="N62">
        <f>AVERAGE(D62:J73)</f>
        <v>244.6904761904762</v>
      </c>
      <c r="O62" s="1">
        <f t="shared" ref="O62" si="12">MAX(D62:J73)</f>
        <v>396</v>
      </c>
      <c r="P62" s="1">
        <f t="shared" ref="P62" si="13">MIN(D62:J73)</f>
        <v>123</v>
      </c>
    </row>
    <row r="63" spans="1:16" x14ac:dyDescent="0.25">
      <c r="A63" t="s">
        <v>72</v>
      </c>
      <c r="C63" s="5" t="s">
        <v>56</v>
      </c>
      <c r="D63" s="14">
        <v>143</v>
      </c>
      <c r="E63" s="14">
        <v>243</v>
      </c>
      <c r="F63" s="14">
        <v>227</v>
      </c>
      <c r="G63" s="15">
        <v>209</v>
      </c>
      <c r="H63" s="15">
        <v>236</v>
      </c>
      <c r="I63" s="15">
        <v>285</v>
      </c>
      <c r="J63" s="15">
        <v>365</v>
      </c>
      <c r="K63">
        <f>AVERAGE(Tabella25[[#This Row],[2009]:[2023]])</f>
        <v>244</v>
      </c>
      <c r="L63">
        <f>MAX(Tabella25[[#This Row],[2009]:[2023]])</f>
        <v>365</v>
      </c>
      <c r="M63">
        <f>MIN(Tabella25[[#This Row],[2009]:[2023]])</f>
        <v>143</v>
      </c>
      <c r="O63">
        <f>O62/N62</f>
        <v>1.6183711199766468</v>
      </c>
      <c r="P63">
        <f>P62/N62</f>
        <v>0.50267587817456449</v>
      </c>
    </row>
    <row r="64" spans="1:16" x14ac:dyDescent="0.25">
      <c r="A64" t="s">
        <v>72</v>
      </c>
      <c r="C64" s="4" t="s">
        <v>57</v>
      </c>
      <c r="D64" s="12">
        <v>138</v>
      </c>
      <c r="E64" s="12">
        <v>243</v>
      </c>
      <c r="F64" s="12">
        <v>223</v>
      </c>
      <c r="G64" s="13">
        <v>207</v>
      </c>
      <c r="H64" s="13">
        <v>233</v>
      </c>
      <c r="I64" s="13">
        <v>348</v>
      </c>
      <c r="J64" s="13">
        <v>357</v>
      </c>
      <c r="K64">
        <f>AVERAGE(Tabella25[[#This Row],[2009]:[2023]])</f>
        <v>249.85714285714286</v>
      </c>
      <c r="L64">
        <f>MAX(Tabella25[[#This Row],[2009]:[2023]])</f>
        <v>357</v>
      </c>
      <c r="M64">
        <f>MIN(Tabella25[[#This Row],[2009]:[2023]])</f>
        <v>138</v>
      </c>
    </row>
    <row r="65" spans="1:17" x14ac:dyDescent="0.25">
      <c r="A65" t="s">
        <v>72</v>
      </c>
      <c r="C65" s="5" t="s">
        <v>58</v>
      </c>
      <c r="D65" s="14">
        <v>140</v>
      </c>
      <c r="E65" s="14">
        <v>243</v>
      </c>
      <c r="F65" s="14">
        <v>224</v>
      </c>
      <c r="G65" s="15">
        <v>208</v>
      </c>
      <c r="H65" s="15">
        <v>237</v>
      </c>
      <c r="I65" s="15">
        <v>368</v>
      </c>
      <c r="J65" s="15">
        <v>352</v>
      </c>
      <c r="K65">
        <f>AVERAGE(Tabella25[[#This Row],[2009]:[2023]])</f>
        <v>253.14285714285714</v>
      </c>
      <c r="L65">
        <f>MAX(Tabella25[[#This Row],[2009]:[2023]])</f>
        <v>368</v>
      </c>
      <c r="M65">
        <f>MIN(Tabella25[[#This Row],[2009]:[2023]])</f>
        <v>140</v>
      </c>
    </row>
    <row r="66" spans="1:17" x14ac:dyDescent="0.25">
      <c r="A66" t="s">
        <v>72</v>
      </c>
      <c r="C66" s="4" t="s">
        <v>59</v>
      </c>
      <c r="D66" s="12">
        <v>140</v>
      </c>
      <c r="E66" s="12">
        <v>243</v>
      </c>
      <c r="F66" s="12">
        <v>227</v>
      </c>
      <c r="G66" s="13">
        <v>204</v>
      </c>
      <c r="H66" s="13">
        <v>253</v>
      </c>
      <c r="I66" s="13">
        <v>364</v>
      </c>
      <c r="J66" s="13">
        <v>344</v>
      </c>
      <c r="K66">
        <f>AVERAGE(Tabella25[[#This Row],[2009]:[2023]])</f>
        <v>253.57142857142858</v>
      </c>
      <c r="L66">
        <f>MAX(Tabella25[[#This Row],[2009]:[2023]])</f>
        <v>364</v>
      </c>
      <c r="M66">
        <f>MIN(Tabella25[[#This Row],[2009]:[2023]])</f>
        <v>140</v>
      </c>
    </row>
    <row r="67" spans="1:17" x14ac:dyDescent="0.25">
      <c r="A67" t="s">
        <v>72</v>
      </c>
      <c r="C67" s="5" t="s">
        <v>60</v>
      </c>
      <c r="D67" s="14">
        <v>140</v>
      </c>
      <c r="E67" s="14">
        <v>237</v>
      </c>
      <c r="F67" s="14">
        <v>225</v>
      </c>
      <c r="G67" s="15">
        <v>200</v>
      </c>
      <c r="H67" s="15">
        <v>256</v>
      </c>
      <c r="I67" s="15">
        <v>361</v>
      </c>
      <c r="J67" s="15">
        <v>341</v>
      </c>
      <c r="K67">
        <f>AVERAGE(Tabella25[[#This Row],[2009]:[2023]])</f>
        <v>251.42857142857142</v>
      </c>
      <c r="L67">
        <f>MAX(Tabella25[[#This Row],[2009]:[2023]])</f>
        <v>361</v>
      </c>
      <c r="M67">
        <f>MIN(Tabella25[[#This Row],[2009]:[2023]])</f>
        <v>140</v>
      </c>
    </row>
    <row r="68" spans="1:17" x14ac:dyDescent="0.25">
      <c r="A68" t="s">
        <v>72</v>
      </c>
      <c r="C68" s="4" t="s">
        <v>61</v>
      </c>
      <c r="D68" s="12">
        <v>138</v>
      </c>
      <c r="E68" s="12">
        <v>228</v>
      </c>
      <c r="F68" s="12">
        <v>224</v>
      </c>
      <c r="G68" s="13">
        <v>196</v>
      </c>
      <c r="H68" s="13">
        <v>245</v>
      </c>
      <c r="I68" s="13">
        <v>363</v>
      </c>
      <c r="J68" s="13">
        <v>331</v>
      </c>
      <c r="K68">
        <f>AVERAGE(Tabella25[[#This Row],[2009]:[2023]])</f>
        <v>246.42857142857142</v>
      </c>
      <c r="L68">
        <f>MAX(Tabella25[[#This Row],[2009]:[2023]])</f>
        <v>363</v>
      </c>
      <c r="M68">
        <f>MIN(Tabella25[[#This Row],[2009]:[2023]])</f>
        <v>138</v>
      </c>
    </row>
    <row r="69" spans="1:17" x14ac:dyDescent="0.25">
      <c r="A69" t="s">
        <v>72</v>
      </c>
      <c r="C69" s="5" t="s">
        <v>62</v>
      </c>
      <c r="D69" s="14">
        <v>130</v>
      </c>
      <c r="E69" s="14">
        <v>221</v>
      </c>
      <c r="F69" s="14">
        <v>218</v>
      </c>
      <c r="G69" s="15">
        <v>191</v>
      </c>
      <c r="H69" s="15">
        <v>240</v>
      </c>
      <c r="I69" s="15">
        <v>372</v>
      </c>
      <c r="J69" s="15">
        <v>315</v>
      </c>
      <c r="K69">
        <f>AVERAGE(Tabella25[[#This Row],[2009]:[2023]])</f>
        <v>241</v>
      </c>
      <c r="L69">
        <f>MAX(Tabella25[[#This Row],[2009]:[2023]])</f>
        <v>372</v>
      </c>
      <c r="M69">
        <f>MIN(Tabella25[[#This Row],[2009]:[2023]])</f>
        <v>130</v>
      </c>
    </row>
    <row r="70" spans="1:17" ht="25.5" x14ac:dyDescent="0.25">
      <c r="A70" t="s">
        <v>72</v>
      </c>
      <c r="C70" s="4" t="s">
        <v>63</v>
      </c>
      <c r="D70" s="12">
        <v>125</v>
      </c>
      <c r="E70" s="12">
        <v>207</v>
      </c>
      <c r="F70" s="12">
        <v>208</v>
      </c>
      <c r="G70" s="13">
        <v>196</v>
      </c>
      <c r="H70" s="13">
        <v>246</v>
      </c>
      <c r="I70" s="18">
        <v>396</v>
      </c>
      <c r="J70" s="13">
        <v>286</v>
      </c>
      <c r="K70">
        <f>AVERAGE(Tabella25[[#This Row],[2009]:[2023]])</f>
        <v>237.71428571428572</v>
      </c>
      <c r="L70">
        <f>MAX(Tabella25[[#This Row],[2009]:[2023]])</f>
        <v>396</v>
      </c>
      <c r="M70">
        <f>MIN(Tabella25[[#This Row],[2009]:[2023]])</f>
        <v>125</v>
      </c>
    </row>
    <row r="71" spans="1:17" x14ac:dyDescent="0.25">
      <c r="A71" t="s">
        <v>72</v>
      </c>
      <c r="C71" s="5" t="s">
        <v>64</v>
      </c>
      <c r="D71" s="19">
        <v>123</v>
      </c>
      <c r="E71" s="14">
        <v>195</v>
      </c>
      <c r="F71" s="14">
        <v>202</v>
      </c>
      <c r="G71" s="15">
        <v>204</v>
      </c>
      <c r="H71" s="15">
        <v>271</v>
      </c>
      <c r="I71" s="15">
        <v>391</v>
      </c>
      <c r="J71" s="15">
        <v>272</v>
      </c>
      <c r="K71">
        <f>AVERAGE(Tabella25[[#This Row],[2009]:[2023]])</f>
        <v>236.85714285714286</v>
      </c>
      <c r="L71">
        <f>MAX(Tabella25[[#This Row],[2009]:[2023]])</f>
        <v>391</v>
      </c>
      <c r="M71">
        <f>MIN(Tabella25[[#This Row],[2009]:[2023]])</f>
        <v>123</v>
      </c>
    </row>
    <row r="72" spans="1:17" ht="25.5" x14ac:dyDescent="0.25">
      <c r="A72" t="s">
        <v>72</v>
      </c>
      <c r="C72" s="4" t="s">
        <v>65</v>
      </c>
      <c r="D72" s="12">
        <v>124</v>
      </c>
      <c r="E72" s="12">
        <v>184</v>
      </c>
      <c r="F72" s="12">
        <v>201</v>
      </c>
      <c r="G72" s="13">
        <v>215</v>
      </c>
      <c r="H72" s="13">
        <v>281</v>
      </c>
      <c r="I72" s="13">
        <v>390</v>
      </c>
      <c r="J72" s="13">
        <v>267</v>
      </c>
      <c r="K72">
        <f>AVERAGE(Tabella25[[#This Row],[2009]:[2023]])</f>
        <v>237.42857142857142</v>
      </c>
      <c r="L72">
        <f>MAX(Tabella25[[#This Row],[2009]:[2023]])</f>
        <v>390</v>
      </c>
      <c r="M72">
        <f>MIN(Tabella25[[#This Row],[2009]:[2023]])</f>
        <v>124</v>
      </c>
    </row>
    <row r="73" spans="1:17" ht="25.5" x14ac:dyDescent="0.25">
      <c r="A73" t="s">
        <v>72</v>
      </c>
      <c r="C73" s="5" t="s">
        <v>66</v>
      </c>
      <c r="D73" s="14">
        <v>130</v>
      </c>
      <c r="E73" s="14">
        <v>182</v>
      </c>
      <c r="F73" s="14">
        <v>206</v>
      </c>
      <c r="G73" s="15">
        <v>227</v>
      </c>
      <c r="H73" s="15">
        <v>288</v>
      </c>
      <c r="I73" s="15">
        <v>380</v>
      </c>
      <c r="J73" s="15">
        <v>270</v>
      </c>
      <c r="K73">
        <f>AVERAGE(Tabella25[[#This Row],[2009]:[2023]])</f>
        <v>240.42857142857142</v>
      </c>
      <c r="L73">
        <f>MAX(Tabella25[[#This Row],[2009]:[2023]])</f>
        <v>380</v>
      </c>
      <c r="M73">
        <f>MIN(Tabella25[[#This Row],[2009]:[2023]])</f>
        <v>130</v>
      </c>
    </row>
    <row r="74" spans="1:17" x14ac:dyDescent="0.25">
      <c r="A74" t="s">
        <v>73</v>
      </c>
      <c r="C74" s="4" t="s">
        <v>55</v>
      </c>
      <c r="D74" s="14"/>
      <c r="E74" s="14"/>
      <c r="F74" s="14"/>
      <c r="G74" s="15"/>
      <c r="H74" s="15"/>
      <c r="I74" s="15"/>
      <c r="J74" s="14"/>
      <c r="K74" t="e">
        <f>AVERAGE(Tabella25[[#This Row],[2009]:[2023]])</f>
        <v>#DIV/0!</v>
      </c>
      <c r="L74">
        <f>MAX(Tabella25[[#This Row],[2009]:[2023]])</f>
        <v>0</v>
      </c>
      <c r="M74">
        <f>MIN(Tabella25[[#This Row],[2009]:[2023]])</f>
        <v>0</v>
      </c>
      <c r="N74">
        <f>AVERAGE(D74:J85)</f>
        <v>40.31333333333334</v>
      </c>
      <c r="O74" s="1">
        <f t="shared" ref="O74" si="14">MAX(D74:J85)</f>
        <v>65</v>
      </c>
      <c r="P74" s="1">
        <f t="shared" ref="P74" si="15">MIN(D74:J85)</f>
        <v>31.5</v>
      </c>
      <c r="Q74">
        <f>_xlfn.STDEV.S(D74:J85)</f>
        <v>11.181353525699219</v>
      </c>
    </row>
    <row r="75" spans="1:17" x14ac:dyDescent="0.25">
      <c r="A75" t="s">
        <v>73</v>
      </c>
      <c r="C75" s="5" t="s">
        <v>56</v>
      </c>
      <c r="D75" s="12"/>
      <c r="E75" s="12"/>
      <c r="F75" s="12"/>
      <c r="G75" s="13"/>
      <c r="H75" s="13"/>
      <c r="I75" s="13"/>
      <c r="J75" s="12"/>
      <c r="K75" t="e">
        <f>AVERAGE(Tabella25[[#This Row],[2009]:[2023]])</f>
        <v>#DIV/0!</v>
      </c>
      <c r="L75">
        <f>MAX(Tabella25[[#This Row],[2009]:[2023]])</f>
        <v>0</v>
      </c>
      <c r="M75">
        <f>MIN(Tabella25[[#This Row],[2009]:[2023]])</f>
        <v>0</v>
      </c>
      <c r="O75">
        <f>O74/N74</f>
        <v>1.6123697701339506</v>
      </c>
      <c r="P75">
        <f>P74/N74</f>
        <v>0.78137919629568364</v>
      </c>
    </row>
    <row r="76" spans="1:17" x14ac:dyDescent="0.25">
      <c r="A76" t="s">
        <v>73</v>
      </c>
      <c r="C76" s="4" t="s">
        <v>57</v>
      </c>
      <c r="D76" s="14"/>
      <c r="E76" s="14"/>
      <c r="F76" s="14"/>
      <c r="G76" s="15"/>
      <c r="H76" s="15"/>
      <c r="I76" s="15"/>
      <c r="J76" s="14"/>
      <c r="K76" t="e">
        <f>AVERAGE(Tabella25[[#This Row],[2009]:[2023]])</f>
        <v>#DIV/0!</v>
      </c>
      <c r="L76">
        <f>MAX(Tabella25[[#This Row],[2009]:[2023]])</f>
        <v>0</v>
      </c>
      <c r="M76">
        <f>MIN(Tabella25[[#This Row],[2009]:[2023]])</f>
        <v>0</v>
      </c>
    </row>
    <row r="77" spans="1:17" x14ac:dyDescent="0.25">
      <c r="A77" t="s">
        <v>73</v>
      </c>
      <c r="C77" s="5" t="s">
        <v>58</v>
      </c>
      <c r="D77" s="14"/>
      <c r="E77" s="14"/>
      <c r="F77" s="14"/>
      <c r="G77" s="15"/>
      <c r="H77" s="15"/>
      <c r="I77" s="15"/>
      <c r="J77" s="14"/>
      <c r="K77" t="e">
        <f>AVERAGE(Tabella25[[#This Row],[2009]:[2023]])</f>
        <v>#DIV/0!</v>
      </c>
      <c r="L77">
        <f>MAX(Tabella25[[#This Row],[2009]:[2023]])</f>
        <v>0</v>
      </c>
      <c r="M77">
        <f>MIN(Tabella25[[#This Row],[2009]:[2023]])</f>
        <v>0</v>
      </c>
    </row>
    <row r="78" spans="1:17" x14ac:dyDescent="0.25">
      <c r="A78" t="s">
        <v>73</v>
      </c>
      <c r="C78" s="4" t="s">
        <v>59</v>
      </c>
      <c r="D78" s="12"/>
      <c r="E78" s="12"/>
      <c r="F78" s="12"/>
      <c r="G78" s="13"/>
      <c r="H78" s="13"/>
      <c r="I78" s="13"/>
      <c r="J78" s="12"/>
      <c r="K78" t="e">
        <f>AVERAGE(Tabella25[[#This Row],[2009]:[2023]])</f>
        <v>#DIV/0!</v>
      </c>
      <c r="L78">
        <f>MAX(Tabella25[[#This Row],[2009]:[2023]])</f>
        <v>0</v>
      </c>
      <c r="M78">
        <f>MIN(Tabella25[[#This Row],[2009]:[2023]])</f>
        <v>0</v>
      </c>
    </row>
    <row r="79" spans="1:17" x14ac:dyDescent="0.25">
      <c r="A79" t="s">
        <v>73</v>
      </c>
      <c r="C79" s="5" t="s">
        <v>60</v>
      </c>
      <c r="D79" s="14"/>
      <c r="E79" s="14"/>
      <c r="F79" s="14"/>
      <c r="G79" s="15"/>
      <c r="H79" s="15"/>
      <c r="I79" s="15">
        <v>35.5</v>
      </c>
      <c r="J79" s="14"/>
      <c r="K79">
        <f>AVERAGE(Tabella25[[#This Row],[2009]:[2023]])</f>
        <v>35.5</v>
      </c>
      <c r="L79">
        <f>MAX(Tabella25[[#This Row],[2009]:[2023]])</f>
        <v>35.5</v>
      </c>
      <c r="M79">
        <f>MIN(Tabella25[[#This Row],[2009]:[2023]])</f>
        <v>35.5</v>
      </c>
    </row>
    <row r="80" spans="1:17" x14ac:dyDescent="0.25">
      <c r="A80" t="s">
        <v>73</v>
      </c>
      <c r="C80" s="4" t="s">
        <v>61</v>
      </c>
      <c r="D80" s="14"/>
      <c r="E80" s="14"/>
      <c r="F80" s="14">
        <v>31.5</v>
      </c>
      <c r="G80" s="15"/>
      <c r="H80" s="15">
        <v>36</v>
      </c>
      <c r="I80" s="15">
        <v>42.7</v>
      </c>
      <c r="J80" s="14">
        <v>52.5</v>
      </c>
      <c r="K80">
        <f>AVERAGE(Tabella25[[#This Row],[2009]:[2023]])</f>
        <v>40.674999999999997</v>
      </c>
      <c r="L80">
        <f>MAX(Tabella25[[#This Row],[2009]:[2023]])</f>
        <v>52.5</v>
      </c>
      <c r="M80">
        <f>MIN(Tabella25[[#This Row],[2009]:[2023]])</f>
        <v>31.5</v>
      </c>
    </row>
    <row r="81" spans="1:13" x14ac:dyDescent="0.25">
      <c r="A81" t="s">
        <v>73</v>
      </c>
      <c r="C81" s="5" t="s">
        <v>62</v>
      </c>
      <c r="D81" s="12"/>
      <c r="E81" s="12"/>
      <c r="F81" s="12">
        <v>31.5</v>
      </c>
      <c r="G81" s="13">
        <v>33</v>
      </c>
      <c r="H81" s="13">
        <v>36</v>
      </c>
      <c r="I81" s="13">
        <v>45</v>
      </c>
      <c r="J81" s="12">
        <v>62.5</v>
      </c>
      <c r="K81">
        <f>AVERAGE(Tabella25[[#This Row],[2009]:[2023]])</f>
        <v>41.6</v>
      </c>
      <c r="L81">
        <f>MAX(Tabella25[[#This Row],[2009]:[2023]])</f>
        <v>62.5</v>
      </c>
      <c r="M81">
        <f>MIN(Tabella25[[#This Row],[2009]:[2023]])</f>
        <v>31.5</v>
      </c>
    </row>
    <row r="82" spans="1:13" ht="25.5" x14ac:dyDescent="0.25">
      <c r="A82" t="s">
        <v>73</v>
      </c>
      <c r="C82" s="4" t="s">
        <v>63</v>
      </c>
      <c r="D82" s="14"/>
      <c r="E82" s="14"/>
      <c r="F82" s="14">
        <v>31.5</v>
      </c>
      <c r="G82" s="15">
        <v>33</v>
      </c>
      <c r="H82" s="15">
        <v>36</v>
      </c>
      <c r="I82" s="15"/>
      <c r="J82" s="14">
        <v>65</v>
      </c>
      <c r="K82">
        <f>AVERAGE(Tabella25[[#This Row],[2009]:[2023]])</f>
        <v>41.375</v>
      </c>
      <c r="L82">
        <f>MAX(Tabella25[[#This Row],[2009]:[2023]])</f>
        <v>65</v>
      </c>
      <c r="M82">
        <f>MIN(Tabella25[[#This Row],[2009]:[2023]])</f>
        <v>31.5</v>
      </c>
    </row>
    <row r="83" spans="1:13" x14ac:dyDescent="0.25">
      <c r="A83" t="s">
        <v>73</v>
      </c>
      <c r="C83" s="5" t="s">
        <v>64</v>
      </c>
      <c r="D83" s="14"/>
      <c r="E83" s="14"/>
      <c r="F83" s="14"/>
      <c r="G83" s="15">
        <v>33</v>
      </c>
      <c r="H83" s="15"/>
      <c r="I83" s="15"/>
      <c r="J83" s="14"/>
      <c r="K83">
        <f>AVERAGE(Tabella25[[#This Row],[2009]:[2023]])</f>
        <v>33</v>
      </c>
      <c r="L83">
        <f>MAX(Tabella25[[#This Row],[2009]:[2023]])</f>
        <v>33</v>
      </c>
      <c r="M83">
        <f>MIN(Tabella25[[#This Row],[2009]:[2023]])</f>
        <v>33</v>
      </c>
    </row>
    <row r="84" spans="1:13" ht="25.5" x14ac:dyDescent="0.25">
      <c r="A84" t="s">
        <v>73</v>
      </c>
      <c r="C84" s="4" t="s">
        <v>65</v>
      </c>
      <c r="D84" s="12"/>
      <c r="E84" s="12"/>
      <c r="F84" s="12"/>
      <c r="G84" s="13"/>
      <c r="H84" s="13"/>
      <c r="I84" s="13"/>
      <c r="J84" s="12"/>
      <c r="K84" t="e">
        <f>AVERAGE(Tabella25[[#This Row],[2009]:[2023]])</f>
        <v>#DIV/0!</v>
      </c>
      <c r="L84">
        <f>MAX(Tabella25[[#This Row],[2009]:[2023]])</f>
        <v>0</v>
      </c>
      <c r="M84">
        <f>MIN(Tabella25[[#This Row],[2009]:[2023]])</f>
        <v>0</v>
      </c>
    </row>
    <row r="85" spans="1:13" ht="25.5" x14ac:dyDescent="0.25">
      <c r="A85" t="s">
        <v>73</v>
      </c>
      <c r="C85" s="5" t="s">
        <v>66</v>
      </c>
      <c r="D85" s="14"/>
      <c r="E85" s="14"/>
      <c r="F85" s="14"/>
      <c r="G85" s="15"/>
      <c r="H85" s="15"/>
      <c r="I85" s="15"/>
      <c r="J85" s="14"/>
      <c r="K85" t="e">
        <f>AVERAGE(Tabella25[[#This Row],[2009]:[2023]])</f>
        <v>#DIV/0!</v>
      </c>
      <c r="L85">
        <f>MAX(Tabella25[[#This Row],[2009]:[2023]])</f>
        <v>0</v>
      </c>
      <c r="M85">
        <f>MIN(Tabella25[[#This Row],[2009]:[2023]])</f>
        <v>0</v>
      </c>
    </row>
    <row r="87" spans="1:13" x14ac:dyDescent="0.25">
      <c r="A87" t="s">
        <v>99</v>
      </c>
      <c r="B87" t="s">
        <v>6</v>
      </c>
    </row>
    <row r="88" spans="1:13" x14ac:dyDescent="0.25">
      <c r="B88" t="s">
        <v>7</v>
      </c>
    </row>
    <row r="89" spans="1:13" x14ac:dyDescent="0.25">
      <c r="A89" t="s">
        <v>3</v>
      </c>
      <c r="B89">
        <v>4.5</v>
      </c>
    </row>
    <row r="90" spans="1:13" x14ac:dyDescent="0.25">
      <c r="A90" t="s">
        <v>4</v>
      </c>
      <c r="B90">
        <v>10</v>
      </c>
    </row>
    <row r="91" spans="1:13" x14ac:dyDescent="0.25">
      <c r="A91" t="s">
        <v>0</v>
      </c>
      <c r="B91">
        <v>90</v>
      </c>
    </row>
    <row r="92" spans="1:13" x14ac:dyDescent="0.25">
      <c r="A92" t="s">
        <v>5</v>
      </c>
      <c r="B92">
        <v>105</v>
      </c>
    </row>
    <row r="93" spans="1:13" x14ac:dyDescent="0.25">
      <c r="A93" t="s">
        <v>1</v>
      </c>
      <c r="B93">
        <v>50</v>
      </c>
    </row>
    <row r="94" spans="1:13" x14ac:dyDescent="0.25">
      <c r="A94" t="s">
        <v>2</v>
      </c>
      <c r="B94">
        <v>41</v>
      </c>
    </row>
    <row r="95" spans="1:13" x14ac:dyDescent="0.25">
      <c r="B95" t="s">
        <v>6</v>
      </c>
      <c r="C95" t="s">
        <v>106</v>
      </c>
    </row>
    <row r="96" spans="1:13" x14ac:dyDescent="0.25">
      <c r="A96" t="s">
        <v>100</v>
      </c>
      <c r="B96" t="s">
        <v>7</v>
      </c>
      <c r="C96" t="s">
        <v>107</v>
      </c>
    </row>
    <row r="97" spans="1:3" x14ac:dyDescent="0.25">
      <c r="A97" t="s">
        <v>101</v>
      </c>
      <c r="B97">
        <v>21.9</v>
      </c>
      <c r="C97">
        <v>345</v>
      </c>
    </row>
    <row r="98" spans="1:3" x14ac:dyDescent="0.25">
      <c r="A98" t="s">
        <v>102</v>
      </c>
      <c r="B98">
        <v>23.9</v>
      </c>
      <c r="C98">
        <v>322</v>
      </c>
    </row>
    <row r="99" spans="1:3" x14ac:dyDescent="0.25">
      <c r="A99" t="s">
        <v>103</v>
      </c>
      <c r="B99">
        <v>16.7</v>
      </c>
      <c r="C99">
        <v>306</v>
      </c>
    </row>
    <row r="100" spans="1:3" x14ac:dyDescent="0.25">
      <c r="A100" t="s">
        <v>104</v>
      </c>
      <c r="B100">
        <v>81.099999999999994</v>
      </c>
      <c r="C100">
        <v>855</v>
      </c>
    </row>
    <row r="101" spans="1:3" x14ac:dyDescent="0.25">
      <c r="A101" t="s">
        <v>164</v>
      </c>
      <c r="B101">
        <v>16.2</v>
      </c>
      <c r="C101">
        <v>210</v>
      </c>
    </row>
    <row r="102" spans="1:3" x14ac:dyDescent="0.25">
      <c r="A102" t="s">
        <v>105</v>
      </c>
      <c r="B102">
        <v>73.5</v>
      </c>
      <c r="C102">
        <v>870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4EC78-F208-45A2-A4FB-F4A2DE503058}">
  <dimension ref="A1:U114"/>
  <sheetViews>
    <sheetView zoomScale="70" zoomScaleNormal="70" workbookViewId="0">
      <selection activeCell="J106" sqref="J106"/>
    </sheetView>
  </sheetViews>
  <sheetFormatPr defaultRowHeight="15" x14ac:dyDescent="0.25"/>
  <cols>
    <col min="1" max="1" width="36.85546875" bestFit="1" customWidth="1"/>
    <col min="2" max="2" width="21.7109375" customWidth="1"/>
    <col min="3" max="3" width="9.42578125" customWidth="1"/>
    <col min="18" max="18" width="38.28515625" bestFit="1" customWidth="1"/>
    <col min="19" max="19" width="25.28515625" bestFit="1" customWidth="1"/>
    <col min="20" max="20" width="23.5703125" bestFit="1" customWidth="1"/>
    <col min="21" max="21" width="23" bestFit="1" customWidth="1"/>
  </cols>
  <sheetData>
    <row r="1" spans="1:21" ht="30" x14ac:dyDescent="0.25">
      <c r="A1" t="s">
        <v>167</v>
      </c>
      <c r="B1" t="s">
        <v>153</v>
      </c>
      <c r="C1" s="8" t="s">
        <v>85</v>
      </c>
      <c r="D1" s="6" t="s">
        <v>86</v>
      </c>
      <c r="E1" s="6" t="s">
        <v>87</v>
      </c>
      <c r="F1" s="6" t="s">
        <v>88</v>
      </c>
      <c r="G1" s="7" t="s">
        <v>89</v>
      </c>
      <c r="H1" s="7" t="s">
        <v>90</v>
      </c>
      <c r="I1" s="7" t="s">
        <v>91</v>
      </c>
      <c r="J1" s="7" t="s">
        <v>92</v>
      </c>
      <c r="K1" s="9" t="s">
        <v>93</v>
      </c>
      <c r="L1" s="9" t="s">
        <v>94</v>
      </c>
      <c r="M1" s="9" t="s">
        <v>95</v>
      </c>
      <c r="N1" s="9" t="s">
        <v>96</v>
      </c>
      <c r="O1" s="9" t="s">
        <v>97</v>
      </c>
      <c r="P1" s="9" t="s">
        <v>98</v>
      </c>
    </row>
    <row r="2" spans="1:21" x14ac:dyDescent="0.25">
      <c r="A2" t="s">
        <v>67</v>
      </c>
      <c r="C2" s="4" t="s">
        <v>55</v>
      </c>
      <c r="D2" s="12">
        <v>202</v>
      </c>
      <c r="E2" s="12">
        <v>245</v>
      </c>
      <c r="F2" s="12">
        <v>228</v>
      </c>
      <c r="G2" s="13">
        <v>217</v>
      </c>
      <c r="H2" s="13">
        <v>230</v>
      </c>
      <c r="I2" s="13">
        <v>334</v>
      </c>
      <c r="J2" s="13">
        <v>368</v>
      </c>
      <c r="K2">
        <f>AVERAGE(Tabella2[[#This Row],[2009]:[2023]])</f>
        <v>260.57142857142856</v>
      </c>
      <c r="L2">
        <f>MAX(Tabella2[[#This Row],[2009]:[2023]])</f>
        <v>368</v>
      </c>
      <c r="M2">
        <f>MIN(Tabella2[[#This Row],[2009]:[2023]])</f>
        <v>202</v>
      </c>
      <c r="N2">
        <f>AVERAGE(D2:J13)</f>
        <v>255.85542168674698</v>
      </c>
      <c r="O2" s="1">
        <f>MAX(D2:J13)</f>
        <v>419</v>
      </c>
      <c r="P2" s="1">
        <f>MIN(D2:J13)</f>
        <v>166</v>
      </c>
      <c r="R2" s="10" t="s">
        <v>78</v>
      </c>
      <c r="S2" t="s">
        <v>206</v>
      </c>
      <c r="T2" t="s">
        <v>207</v>
      </c>
      <c r="U2" t="s">
        <v>208</v>
      </c>
    </row>
    <row r="3" spans="1:21" x14ac:dyDescent="0.25">
      <c r="A3" t="s">
        <v>67</v>
      </c>
      <c r="C3" s="5" t="s">
        <v>56</v>
      </c>
      <c r="D3" s="14">
        <v>205</v>
      </c>
      <c r="E3" s="14">
        <v>240</v>
      </c>
      <c r="F3" s="14">
        <v>229</v>
      </c>
      <c r="G3" s="15">
        <v>219</v>
      </c>
      <c r="H3" s="15">
        <v>242</v>
      </c>
      <c r="I3" s="15">
        <v>333</v>
      </c>
      <c r="J3" s="15">
        <v>350</v>
      </c>
      <c r="K3">
        <f>AVERAGE(Tabella2[[#This Row],[2009]:[2023]])</f>
        <v>259.71428571428572</v>
      </c>
      <c r="L3">
        <f>MAX(Tabella2[[#This Row],[2009]:[2023]])</f>
        <v>350</v>
      </c>
      <c r="M3">
        <f>MIN(Tabella2[[#This Row],[2009]:[2023]])</f>
        <v>205</v>
      </c>
      <c r="R3" s="11" t="s">
        <v>69</v>
      </c>
      <c r="S3" s="42">
        <v>153.36904761904762</v>
      </c>
      <c r="T3" s="42">
        <v>284</v>
      </c>
      <c r="U3" s="42">
        <v>71</v>
      </c>
    </row>
    <row r="4" spans="1:21" x14ac:dyDescent="0.25">
      <c r="A4" t="s">
        <v>67</v>
      </c>
      <c r="C4" s="4" t="s">
        <v>57</v>
      </c>
      <c r="D4" s="12">
        <v>189</v>
      </c>
      <c r="E4" s="12">
        <v>243</v>
      </c>
      <c r="F4" s="12">
        <v>225</v>
      </c>
      <c r="G4" s="13">
        <v>219</v>
      </c>
      <c r="H4" s="13">
        <v>241</v>
      </c>
      <c r="I4" s="13">
        <v>396</v>
      </c>
      <c r="J4" s="13">
        <v>322</v>
      </c>
      <c r="K4">
        <f>AVERAGE(Tabella2[[#This Row],[2009]:[2023]])</f>
        <v>262.14285714285717</v>
      </c>
      <c r="L4">
        <f>MAX(Tabella2[[#This Row],[2009]:[2023]])</f>
        <v>396</v>
      </c>
      <c r="M4">
        <f>MIN(Tabella2[[#This Row],[2009]:[2023]])</f>
        <v>189</v>
      </c>
      <c r="R4" s="11" t="s">
        <v>70</v>
      </c>
      <c r="S4" s="42">
        <v>231.52777777777777</v>
      </c>
      <c r="T4" s="42">
        <v>350</v>
      </c>
      <c r="U4" s="42">
        <v>154</v>
      </c>
    </row>
    <row r="5" spans="1:21" x14ac:dyDescent="0.25">
      <c r="A5" t="s">
        <v>67</v>
      </c>
      <c r="C5" s="5" t="s">
        <v>58</v>
      </c>
      <c r="D5" s="14">
        <v>184</v>
      </c>
      <c r="E5" s="14">
        <v>242</v>
      </c>
      <c r="F5" s="14">
        <v>224</v>
      </c>
      <c r="G5" s="15">
        <v>221</v>
      </c>
      <c r="H5" s="15">
        <v>240</v>
      </c>
      <c r="I5" s="15">
        <v>410</v>
      </c>
      <c r="J5" s="15">
        <v>306</v>
      </c>
      <c r="K5">
        <f>AVERAGE(Tabella2[[#This Row],[2009]:[2023]])</f>
        <v>261</v>
      </c>
      <c r="L5">
        <f>MAX(Tabella2[[#This Row],[2009]:[2023]])</f>
        <v>410</v>
      </c>
      <c r="M5">
        <f>MIN(Tabella2[[#This Row],[2009]:[2023]])</f>
        <v>184</v>
      </c>
      <c r="R5" s="11" t="s">
        <v>67</v>
      </c>
      <c r="S5" s="42">
        <v>255.85542168674698</v>
      </c>
      <c r="T5" s="42">
        <v>419</v>
      </c>
      <c r="U5" s="42">
        <v>166</v>
      </c>
    </row>
    <row r="6" spans="1:21" x14ac:dyDescent="0.25">
      <c r="A6" t="s">
        <v>67</v>
      </c>
      <c r="C6" s="4" t="s">
        <v>59</v>
      </c>
      <c r="D6" s="12">
        <v>190</v>
      </c>
      <c r="E6" s="12">
        <v>237</v>
      </c>
      <c r="F6" s="12">
        <v>224</v>
      </c>
      <c r="G6" s="13">
        <v>215</v>
      </c>
      <c r="H6" s="13">
        <v>248</v>
      </c>
      <c r="I6" s="13">
        <v>416</v>
      </c>
      <c r="J6" s="13">
        <v>296</v>
      </c>
      <c r="K6">
        <f>AVERAGE(Tabella2[[#This Row],[2009]:[2023]])</f>
        <v>260.85714285714283</v>
      </c>
      <c r="L6">
        <f>MAX(Tabella2[[#This Row],[2009]:[2023]])</f>
        <v>416</v>
      </c>
      <c r="M6">
        <f>MIN(Tabella2[[#This Row],[2009]:[2023]])</f>
        <v>190</v>
      </c>
      <c r="R6" s="11" t="s">
        <v>71</v>
      </c>
      <c r="S6" s="42">
        <v>223.48809523809524</v>
      </c>
      <c r="T6" s="42">
        <v>348</v>
      </c>
      <c r="U6" s="42">
        <v>154</v>
      </c>
    </row>
    <row r="7" spans="1:21" x14ac:dyDescent="0.25">
      <c r="A7" t="s">
        <v>67</v>
      </c>
      <c r="C7" s="5" t="s">
        <v>60</v>
      </c>
      <c r="D7" s="14">
        <v>189</v>
      </c>
      <c r="E7" s="14">
        <v>229</v>
      </c>
      <c r="F7" s="14">
        <v>224</v>
      </c>
      <c r="G7" s="15">
        <v>209</v>
      </c>
      <c r="H7" s="15"/>
      <c r="I7" s="16">
        <v>419</v>
      </c>
      <c r="J7" s="15">
        <v>289</v>
      </c>
      <c r="K7">
        <f>AVERAGE(Tabella2[[#This Row],[2009]:[2023]])</f>
        <v>259.83333333333331</v>
      </c>
      <c r="L7">
        <f>MAX(Tabella2[[#This Row],[2009]:[2023]])</f>
        <v>419</v>
      </c>
      <c r="M7">
        <f>MIN(Tabella2[[#This Row],[2009]:[2023]])</f>
        <v>189</v>
      </c>
      <c r="R7" s="11" t="s">
        <v>68</v>
      </c>
      <c r="S7" s="42">
        <v>226.63095238095238</v>
      </c>
      <c r="T7" s="42">
        <v>389</v>
      </c>
      <c r="U7" s="42">
        <v>135</v>
      </c>
    </row>
    <row r="8" spans="1:21" x14ac:dyDescent="0.25">
      <c r="A8" t="s">
        <v>67</v>
      </c>
      <c r="C8" s="4" t="s">
        <v>61</v>
      </c>
      <c r="D8" s="12">
        <v>173</v>
      </c>
      <c r="E8" s="12">
        <v>225</v>
      </c>
      <c r="F8" s="12">
        <v>210</v>
      </c>
      <c r="G8" s="13">
        <v>198</v>
      </c>
      <c r="H8" s="13">
        <v>235</v>
      </c>
      <c r="I8" s="13">
        <v>384</v>
      </c>
      <c r="J8" s="13">
        <v>257</v>
      </c>
      <c r="K8">
        <f>AVERAGE(Tabella2[[#This Row],[2009]:[2023]])</f>
        <v>240.28571428571428</v>
      </c>
      <c r="L8">
        <f>MAX(Tabella2[[#This Row],[2009]:[2023]])</f>
        <v>384</v>
      </c>
      <c r="M8">
        <f>MIN(Tabella2[[#This Row],[2009]:[2023]])</f>
        <v>173</v>
      </c>
      <c r="R8" s="11" t="s">
        <v>72</v>
      </c>
      <c r="S8" s="42">
        <v>244.6904761904762</v>
      </c>
      <c r="T8" s="42">
        <v>396</v>
      </c>
      <c r="U8" s="42">
        <v>123</v>
      </c>
    </row>
    <row r="9" spans="1:21" x14ac:dyDescent="0.25">
      <c r="A9" t="s">
        <v>67</v>
      </c>
      <c r="C9" s="5" t="s">
        <v>62</v>
      </c>
      <c r="D9" s="14">
        <v>172</v>
      </c>
      <c r="E9" s="14">
        <v>231</v>
      </c>
      <c r="F9" s="14">
        <v>210</v>
      </c>
      <c r="G9" s="15">
        <v>200</v>
      </c>
      <c r="H9" s="15">
        <v>257</v>
      </c>
      <c r="I9" s="15">
        <v>383</v>
      </c>
      <c r="J9" s="15">
        <v>264</v>
      </c>
      <c r="K9">
        <f>AVERAGE(Tabella2[[#This Row],[2009]:[2023]])</f>
        <v>245.28571428571428</v>
      </c>
      <c r="L9">
        <f>MAX(Tabella2[[#This Row],[2009]:[2023]])</f>
        <v>383</v>
      </c>
      <c r="M9">
        <f>MIN(Tabella2[[#This Row],[2009]:[2023]])</f>
        <v>172</v>
      </c>
      <c r="R9" s="11" t="s">
        <v>36</v>
      </c>
      <c r="S9" s="42">
        <v>219.30136986301369</v>
      </c>
      <c r="T9" s="42">
        <v>378</v>
      </c>
      <c r="U9" s="42">
        <v>125</v>
      </c>
    </row>
    <row r="10" spans="1:21" ht="25.5" x14ac:dyDescent="0.25">
      <c r="A10" t="s">
        <v>67</v>
      </c>
      <c r="C10" s="4" t="s">
        <v>63</v>
      </c>
      <c r="D10" s="17">
        <v>166</v>
      </c>
      <c r="E10" s="12">
        <v>229</v>
      </c>
      <c r="F10" s="12">
        <v>209</v>
      </c>
      <c r="G10" s="13">
        <v>202</v>
      </c>
      <c r="H10" s="13">
        <v>270</v>
      </c>
      <c r="I10" s="13">
        <v>385</v>
      </c>
      <c r="J10" s="13">
        <v>269</v>
      </c>
      <c r="K10">
        <f>AVERAGE(Tabella2[[#This Row],[2009]:[2023]])</f>
        <v>247.14285714285714</v>
      </c>
      <c r="L10">
        <f>MAX(Tabella2[[#This Row],[2009]:[2023]])</f>
        <v>385</v>
      </c>
      <c r="M10">
        <f>MIN(Tabella2[[#This Row],[2009]:[2023]])</f>
        <v>166</v>
      </c>
      <c r="R10" s="11" t="s">
        <v>73</v>
      </c>
      <c r="S10" s="42">
        <v>40.31333333333334</v>
      </c>
      <c r="T10" s="42">
        <v>65</v>
      </c>
      <c r="U10" s="42">
        <v>31.5</v>
      </c>
    </row>
    <row r="11" spans="1:21" x14ac:dyDescent="0.25">
      <c r="A11" t="s">
        <v>67</v>
      </c>
      <c r="C11" s="5" t="s">
        <v>64</v>
      </c>
      <c r="D11" s="14">
        <v>168</v>
      </c>
      <c r="E11" s="14">
        <v>227</v>
      </c>
      <c r="F11" s="14">
        <v>209</v>
      </c>
      <c r="G11" s="15">
        <v>210</v>
      </c>
      <c r="H11" s="15">
        <v>297</v>
      </c>
      <c r="I11" s="15">
        <v>394</v>
      </c>
      <c r="J11" s="15">
        <v>270</v>
      </c>
      <c r="K11">
        <f>AVERAGE(Tabella2[[#This Row],[2009]:[2023]])</f>
        <v>253.57142857142858</v>
      </c>
      <c r="L11">
        <f>MAX(Tabella2[[#This Row],[2009]:[2023]])</f>
        <v>394</v>
      </c>
      <c r="M11">
        <f>MIN(Tabella2[[#This Row],[2009]:[2023]])</f>
        <v>168</v>
      </c>
      <c r="R11" s="11" t="s">
        <v>79</v>
      </c>
      <c r="S11">
        <v>1595.176474089443</v>
      </c>
      <c r="T11">
        <v>2629</v>
      </c>
      <c r="U11">
        <v>959.5</v>
      </c>
    </row>
    <row r="12" spans="1:21" ht="25.5" x14ac:dyDescent="0.25">
      <c r="A12" t="s">
        <v>67</v>
      </c>
      <c r="C12" s="4" t="s">
        <v>65</v>
      </c>
      <c r="D12" s="12">
        <v>171</v>
      </c>
      <c r="E12" s="12">
        <v>229</v>
      </c>
      <c r="F12" s="12">
        <v>210</v>
      </c>
      <c r="G12" s="13">
        <v>217</v>
      </c>
      <c r="H12" s="13">
        <v>328</v>
      </c>
      <c r="I12" s="13">
        <v>390</v>
      </c>
      <c r="J12" s="13">
        <v>275</v>
      </c>
      <c r="K12">
        <f>AVERAGE(Tabella2[[#This Row],[2009]:[2023]])</f>
        <v>260</v>
      </c>
      <c r="L12">
        <f>MAX(Tabella2[[#This Row],[2009]:[2023]])</f>
        <v>390</v>
      </c>
      <c r="M12">
        <f>MIN(Tabella2[[#This Row],[2009]:[2023]])</f>
        <v>171</v>
      </c>
    </row>
    <row r="13" spans="1:21" ht="25.5" x14ac:dyDescent="0.25">
      <c r="A13" t="s">
        <v>67</v>
      </c>
      <c r="C13" s="5" t="s">
        <v>66</v>
      </c>
      <c r="D13" s="14">
        <v>173</v>
      </c>
      <c r="E13" s="14">
        <v>232</v>
      </c>
      <c r="F13" s="14">
        <v>214</v>
      </c>
      <c r="G13" s="15">
        <v>219</v>
      </c>
      <c r="H13" s="15">
        <v>334</v>
      </c>
      <c r="I13" s="15">
        <v>376</v>
      </c>
      <c r="J13" s="15">
        <v>275</v>
      </c>
      <c r="K13">
        <f>AVERAGE(Tabella2[[#This Row],[2009]:[2023]])</f>
        <v>260.42857142857144</v>
      </c>
      <c r="L13">
        <f>MAX(Tabella2[[#This Row],[2009]:[2023]])</f>
        <v>376</v>
      </c>
      <c r="M13">
        <f>MIN(Tabella2[[#This Row],[2009]:[2023]])</f>
        <v>173</v>
      </c>
    </row>
    <row r="14" spans="1:21" x14ac:dyDescent="0.25">
      <c r="A14" t="s">
        <v>68</v>
      </c>
      <c r="C14" s="4" t="s">
        <v>55</v>
      </c>
      <c r="D14" s="12">
        <v>155</v>
      </c>
      <c r="E14" s="12">
        <v>228</v>
      </c>
      <c r="F14" s="12">
        <v>239</v>
      </c>
      <c r="G14" s="13">
        <v>196</v>
      </c>
      <c r="H14" s="13">
        <v>217</v>
      </c>
      <c r="I14" s="13">
        <v>307</v>
      </c>
      <c r="J14" s="13">
        <v>319</v>
      </c>
      <c r="K14">
        <f>AVERAGE(Tabella2[[#This Row],[2009]:[2023]])</f>
        <v>237.28571428571428</v>
      </c>
      <c r="L14">
        <f>MAX(Tabella2[[#This Row],[2009]:[2023]])</f>
        <v>319</v>
      </c>
      <c r="M14">
        <f>MIN(Tabella2[[#This Row],[2009]:[2023]])</f>
        <v>155</v>
      </c>
      <c r="N14">
        <f>AVERAGE(D14:J25)</f>
        <v>226.63095238095238</v>
      </c>
      <c r="O14" s="1">
        <f t="shared" ref="O14" si="0">MAX(D14:J25)</f>
        <v>389</v>
      </c>
      <c r="P14" s="1">
        <f t="shared" ref="P14" si="1">MIN(D14:J25)</f>
        <v>135</v>
      </c>
    </row>
    <row r="15" spans="1:21" x14ac:dyDescent="0.25">
      <c r="A15" t="s">
        <v>68</v>
      </c>
      <c r="C15" s="5" t="s">
        <v>56</v>
      </c>
      <c r="D15" s="14">
        <v>154</v>
      </c>
      <c r="E15" s="14">
        <v>224</v>
      </c>
      <c r="F15" s="14">
        <v>233</v>
      </c>
      <c r="G15" s="15">
        <v>197</v>
      </c>
      <c r="H15" s="15">
        <v>229</v>
      </c>
      <c r="I15" s="15">
        <v>303</v>
      </c>
      <c r="J15" s="15">
        <v>291</v>
      </c>
      <c r="K15">
        <f>AVERAGE(Tabella2[[#This Row],[2009]:[2023]])</f>
        <v>233</v>
      </c>
      <c r="L15">
        <f>MAX(Tabella2[[#This Row],[2009]:[2023]])</f>
        <v>303</v>
      </c>
      <c r="M15">
        <f>MIN(Tabella2[[#This Row],[2009]:[2023]])</f>
        <v>154</v>
      </c>
    </row>
    <row r="16" spans="1:21" x14ac:dyDescent="0.25">
      <c r="A16" t="s">
        <v>68</v>
      </c>
      <c r="C16" s="4" t="s">
        <v>57</v>
      </c>
      <c r="D16" s="12">
        <v>144</v>
      </c>
      <c r="E16" s="12">
        <v>225</v>
      </c>
      <c r="F16" s="12">
        <v>222</v>
      </c>
      <c r="G16" s="13">
        <v>197</v>
      </c>
      <c r="H16" s="13">
        <v>225</v>
      </c>
      <c r="I16" s="13">
        <v>382</v>
      </c>
      <c r="J16" s="13">
        <v>270</v>
      </c>
      <c r="K16">
        <f>AVERAGE(Tabella2[[#This Row],[2009]:[2023]])</f>
        <v>237.85714285714286</v>
      </c>
      <c r="L16">
        <f>MAX(Tabella2[[#This Row],[2009]:[2023]])</f>
        <v>382</v>
      </c>
      <c r="M16">
        <f>MIN(Tabella2[[#This Row],[2009]:[2023]])</f>
        <v>144</v>
      </c>
    </row>
    <row r="17" spans="1:16" x14ac:dyDescent="0.25">
      <c r="A17" t="s">
        <v>68</v>
      </c>
      <c r="C17" s="5" t="s">
        <v>58</v>
      </c>
      <c r="D17" s="14">
        <v>142</v>
      </c>
      <c r="E17" s="14">
        <v>223</v>
      </c>
      <c r="F17" s="14">
        <v>221</v>
      </c>
      <c r="G17" s="15">
        <v>192</v>
      </c>
      <c r="H17" s="15">
        <v>223</v>
      </c>
      <c r="I17" s="15">
        <v>385</v>
      </c>
      <c r="J17" s="15">
        <v>258</v>
      </c>
      <c r="K17">
        <f>AVERAGE(Tabella2[[#This Row],[2009]:[2023]])</f>
        <v>234.85714285714286</v>
      </c>
      <c r="L17">
        <f>MAX(Tabella2[[#This Row],[2009]:[2023]])</f>
        <v>385</v>
      </c>
      <c r="M17">
        <f>MIN(Tabella2[[#This Row],[2009]:[2023]])</f>
        <v>142</v>
      </c>
    </row>
    <row r="18" spans="1:16" x14ac:dyDescent="0.25">
      <c r="A18" t="s">
        <v>68</v>
      </c>
      <c r="C18" s="4" t="s">
        <v>59</v>
      </c>
      <c r="D18" s="12">
        <v>151</v>
      </c>
      <c r="E18" s="12">
        <v>218</v>
      </c>
      <c r="F18" s="12">
        <v>221</v>
      </c>
      <c r="G18" s="13">
        <v>181</v>
      </c>
      <c r="H18" s="13">
        <v>244</v>
      </c>
      <c r="I18" s="18">
        <v>389</v>
      </c>
      <c r="J18" s="13">
        <v>272</v>
      </c>
      <c r="K18">
        <f>AVERAGE(Tabella2[[#This Row],[2009]:[2023]])</f>
        <v>239.42857142857142</v>
      </c>
      <c r="L18">
        <f>MAX(Tabella2[[#This Row],[2009]:[2023]])</f>
        <v>389</v>
      </c>
      <c r="M18">
        <f>MIN(Tabella2[[#This Row],[2009]:[2023]])</f>
        <v>151</v>
      </c>
    </row>
    <row r="19" spans="1:16" x14ac:dyDescent="0.25">
      <c r="A19" t="s">
        <v>68</v>
      </c>
      <c r="C19" s="5" t="s">
        <v>60</v>
      </c>
      <c r="D19" s="14">
        <v>146</v>
      </c>
      <c r="E19" s="14">
        <v>200</v>
      </c>
      <c r="F19" s="14">
        <v>211</v>
      </c>
      <c r="G19" s="15">
        <v>173</v>
      </c>
      <c r="H19" s="15">
        <v>241</v>
      </c>
      <c r="I19" s="15">
        <v>355</v>
      </c>
      <c r="J19" s="15">
        <v>246</v>
      </c>
      <c r="K19">
        <f>AVERAGE(Tabella2[[#This Row],[2009]:[2023]])</f>
        <v>224.57142857142858</v>
      </c>
      <c r="L19">
        <f>MAX(Tabella2[[#This Row],[2009]:[2023]])</f>
        <v>355</v>
      </c>
      <c r="M19">
        <f>MIN(Tabella2[[#This Row],[2009]:[2023]])</f>
        <v>146</v>
      </c>
    </row>
    <row r="20" spans="1:16" x14ac:dyDescent="0.25">
      <c r="A20" t="s">
        <v>68</v>
      </c>
      <c r="C20" s="4" t="s">
        <v>61</v>
      </c>
      <c r="D20" s="12">
        <v>138</v>
      </c>
      <c r="E20" s="12">
        <v>188</v>
      </c>
      <c r="F20" s="12">
        <v>186</v>
      </c>
      <c r="G20" s="13">
        <v>169</v>
      </c>
      <c r="H20" s="13">
        <v>212</v>
      </c>
      <c r="I20" s="13">
        <v>339</v>
      </c>
      <c r="J20" s="13">
        <v>214</v>
      </c>
      <c r="K20">
        <f>AVERAGE(Tabella2[[#This Row],[2009]:[2023]])</f>
        <v>206.57142857142858</v>
      </c>
      <c r="L20">
        <f>MAX(Tabella2[[#This Row],[2009]:[2023]])</f>
        <v>339</v>
      </c>
      <c r="M20">
        <f>MIN(Tabella2[[#This Row],[2009]:[2023]])</f>
        <v>138</v>
      </c>
    </row>
    <row r="21" spans="1:16" x14ac:dyDescent="0.25">
      <c r="A21" t="s">
        <v>68</v>
      </c>
      <c r="C21" s="5" t="s">
        <v>62</v>
      </c>
      <c r="D21" s="14">
        <v>137</v>
      </c>
      <c r="E21" s="14">
        <v>186</v>
      </c>
      <c r="F21" s="14">
        <v>186</v>
      </c>
      <c r="G21" s="15">
        <v>173</v>
      </c>
      <c r="H21" s="15">
        <v>233</v>
      </c>
      <c r="I21" s="15">
        <v>349</v>
      </c>
      <c r="J21" s="15">
        <v>228</v>
      </c>
      <c r="K21">
        <f>AVERAGE(Tabella2[[#This Row],[2009]:[2023]])</f>
        <v>213.14285714285714</v>
      </c>
      <c r="L21">
        <f>MAX(Tabella2[[#This Row],[2009]:[2023]])</f>
        <v>349</v>
      </c>
      <c r="M21">
        <f>MIN(Tabella2[[#This Row],[2009]:[2023]])</f>
        <v>137</v>
      </c>
    </row>
    <row r="22" spans="1:16" ht="25.5" x14ac:dyDescent="0.25">
      <c r="A22" t="s">
        <v>68</v>
      </c>
      <c r="C22" s="4" t="s">
        <v>63</v>
      </c>
      <c r="D22" s="17">
        <v>135</v>
      </c>
      <c r="E22" s="12">
        <v>183</v>
      </c>
      <c r="F22" s="12">
        <v>183</v>
      </c>
      <c r="G22" s="13">
        <v>179</v>
      </c>
      <c r="H22" s="13">
        <v>246</v>
      </c>
      <c r="I22" s="13">
        <v>350</v>
      </c>
      <c r="J22" s="13">
        <v>222</v>
      </c>
      <c r="K22">
        <f>AVERAGE(Tabella2[[#This Row],[2009]:[2023]])</f>
        <v>214</v>
      </c>
      <c r="L22">
        <f>MAX(Tabella2[[#This Row],[2009]:[2023]])</f>
        <v>350</v>
      </c>
      <c r="M22">
        <f>MIN(Tabella2[[#This Row],[2009]:[2023]])</f>
        <v>135</v>
      </c>
    </row>
    <row r="23" spans="1:16" x14ac:dyDescent="0.25">
      <c r="A23" t="s">
        <v>68</v>
      </c>
      <c r="C23" s="5" t="s">
        <v>64</v>
      </c>
      <c r="D23" s="14">
        <v>138</v>
      </c>
      <c r="E23" s="14">
        <v>185</v>
      </c>
      <c r="F23" s="14">
        <v>182</v>
      </c>
      <c r="G23" s="15">
        <v>188</v>
      </c>
      <c r="H23" s="15">
        <v>268</v>
      </c>
      <c r="I23" s="15">
        <v>350</v>
      </c>
      <c r="J23" s="15">
        <v>223</v>
      </c>
      <c r="K23">
        <f>AVERAGE(Tabella2[[#This Row],[2009]:[2023]])</f>
        <v>219.14285714285714</v>
      </c>
      <c r="L23">
        <f>MAX(Tabella2[[#This Row],[2009]:[2023]])</f>
        <v>350</v>
      </c>
      <c r="M23">
        <f>MIN(Tabella2[[#This Row],[2009]:[2023]])</f>
        <v>138</v>
      </c>
    </row>
    <row r="24" spans="1:16" ht="25.5" x14ac:dyDescent="0.25">
      <c r="A24" t="s">
        <v>68</v>
      </c>
      <c r="C24" s="4" t="s">
        <v>65</v>
      </c>
      <c r="D24" s="12">
        <v>142</v>
      </c>
      <c r="E24" s="12">
        <v>193</v>
      </c>
      <c r="F24" s="12">
        <v>187</v>
      </c>
      <c r="G24" s="13">
        <v>200</v>
      </c>
      <c r="H24" s="13">
        <v>294</v>
      </c>
      <c r="I24" s="13">
        <v>345</v>
      </c>
      <c r="J24" s="13">
        <v>236</v>
      </c>
      <c r="K24">
        <f>AVERAGE(Tabella2[[#This Row],[2009]:[2023]])</f>
        <v>228.14285714285714</v>
      </c>
      <c r="L24">
        <f>MAX(Tabella2[[#This Row],[2009]:[2023]])</f>
        <v>345</v>
      </c>
      <c r="M24">
        <f>MIN(Tabella2[[#This Row],[2009]:[2023]])</f>
        <v>142</v>
      </c>
    </row>
    <row r="25" spans="1:16" ht="25.5" x14ac:dyDescent="0.25">
      <c r="A25" t="s">
        <v>68</v>
      </c>
      <c r="C25" s="5" t="s">
        <v>66</v>
      </c>
      <c r="D25" s="14">
        <v>146</v>
      </c>
      <c r="E25" s="14">
        <v>204</v>
      </c>
      <c r="F25" s="14">
        <v>190</v>
      </c>
      <c r="G25" s="15">
        <v>207</v>
      </c>
      <c r="H25" s="15">
        <v>308</v>
      </c>
      <c r="I25" s="15">
        <v>327</v>
      </c>
      <c r="J25" s="15">
        <v>239</v>
      </c>
      <c r="K25">
        <f>AVERAGE(Tabella2[[#This Row],[2009]:[2023]])</f>
        <v>231.57142857142858</v>
      </c>
      <c r="L25">
        <f>MAX(Tabella2[[#This Row],[2009]:[2023]])</f>
        <v>327</v>
      </c>
      <c r="M25">
        <f>MIN(Tabella2[[#This Row],[2009]:[2023]])</f>
        <v>146</v>
      </c>
    </row>
    <row r="26" spans="1:16" x14ac:dyDescent="0.25">
      <c r="A26" t="s">
        <v>69</v>
      </c>
      <c r="C26" s="4" t="s">
        <v>55</v>
      </c>
      <c r="D26" s="12">
        <v>109</v>
      </c>
      <c r="E26" s="12">
        <v>146</v>
      </c>
      <c r="F26" s="12">
        <v>155</v>
      </c>
      <c r="G26" s="13">
        <v>131</v>
      </c>
      <c r="H26" s="13">
        <v>194</v>
      </c>
      <c r="I26" s="13">
        <v>217</v>
      </c>
      <c r="J26" s="13">
        <v>255</v>
      </c>
      <c r="K26">
        <f>AVERAGE(Tabella2[[#This Row],[2009]:[2023]])</f>
        <v>172.42857142857142</v>
      </c>
      <c r="L26">
        <f>MAX(Tabella2[[#This Row],[2009]:[2023]])</f>
        <v>255</v>
      </c>
      <c r="M26">
        <f>MIN(Tabella2[[#This Row],[2009]:[2023]])</f>
        <v>109</v>
      </c>
      <c r="N26">
        <f>AVERAGE(D26:J37)</f>
        <v>153.36904761904762</v>
      </c>
      <c r="O26" s="1">
        <f t="shared" ref="O26" si="2">MAX(D26:J37)</f>
        <v>284</v>
      </c>
      <c r="P26" s="1">
        <f t="shared" ref="P26" si="3">MIN(D26:J37)</f>
        <v>71</v>
      </c>
    </row>
    <row r="27" spans="1:16" x14ac:dyDescent="0.25">
      <c r="A27" t="s">
        <v>69</v>
      </c>
      <c r="C27" s="5" t="s">
        <v>56</v>
      </c>
      <c r="D27" s="14">
        <v>88</v>
      </c>
      <c r="E27" s="14">
        <v>127</v>
      </c>
      <c r="F27" s="14">
        <v>134</v>
      </c>
      <c r="G27" s="15">
        <v>119</v>
      </c>
      <c r="H27" s="15">
        <v>172</v>
      </c>
      <c r="I27" s="15">
        <v>204</v>
      </c>
      <c r="J27" s="15">
        <v>230</v>
      </c>
      <c r="K27">
        <f>AVERAGE(Tabella2[[#This Row],[2009]:[2023]])</f>
        <v>153.42857142857142</v>
      </c>
      <c r="L27">
        <f>MAX(Tabella2[[#This Row],[2009]:[2023]])</f>
        <v>230</v>
      </c>
      <c r="M27">
        <f>MIN(Tabella2[[#This Row],[2009]:[2023]])</f>
        <v>88</v>
      </c>
    </row>
    <row r="28" spans="1:16" x14ac:dyDescent="0.25">
      <c r="A28" t="s">
        <v>69</v>
      </c>
      <c r="C28" s="4" t="s">
        <v>57</v>
      </c>
      <c r="D28" s="12">
        <v>84</v>
      </c>
      <c r="E28" s="12">
        <v>158</v>
      </c>
      <c r="F28" s="12">
        <v>128</v>
      </c>
      <c r="G28" s="13">
        <v>134</v>
      </c>
      <c r="H28" s="13">
        <v>178</v>
      </c>
      <c r="I28" s="13">
        <v>253</v>
      </c>
      <c r="J28" s="13">
        <v>237</v>
      </c>
      <c r="K28">
        <f>AVERAGE(Tabella2[[#This Row],[2009]:[2023]])</f>
        <v>167.42857142857142</v>
      </c>
      <c r="L28">
        <f>MAX(Tabella2[[#This Row],[2009]:[2023]])</f>
        <v>253</v>
      </c>
      <c r="M28">
        <f>MIN(Tabella2[[#This Row],[2009]:[2023]])</f>
        <v>84</v>
      </c>
    </row>
    <row r="29" spans="1:16" x14ac:dyDescent="0.25">
      <c r="A29" t="s">
        <v>69</v>
      </c>
      <c r="C29" s="5" t="s">
        <v>58</v>
      </c>
      <c r="D29" s="14">
        <v>99</v>
      </c>
      <c r="E29" s="14">
        <v>178</v>
      </c>
      <c r="F29" s="14">
        <v>148</v>
      </c>
      <c r="G29" s="15">
        <v>141</v>
      </c>
      <c r="H29" s="15">
        <v>193</v>
      </c>
      <c r="I29" s="15">
        <v>224</v>
      </c>
      <c r="J29" s="15">
        <v>250</v>
      </c>
      <c r="K29">
        <f>AVERAGE(Tabella2[[#This Row],[2009]:[2023]])</f>
        <v>176.14285714285714</v>
      </c>
      <c r="L29">
        <f>MAX(Tabella2[[#This Row],[2009]:[2023]])</f>
        <v>250</v>
      </c>
      <c r="M29">
        <f>MIN(Tabella2[[#This Row],[2009]:[2023]])</f>
        <v>99</v>
      </c>
    </row>
    <row r="30" spans="1:16" x14ac:dyDescent="0.25">
      <c r="A30" t="s">
        <v>69</v>
      </c>
      <c r="C30" s="4" t="s">
        <v>59</v>
      </c>
      <c r="D30" s="12">
        <v>91</v>
      </c>
      <c r="E30" s="12">
        <v>144</v>
      </c>
      <c r="F30" s="12">
        <v>148</v>
      </c>
      <c r="G30" s="13">
        <v>133</v>
      </c>
      <c r="H30" s="13">
        <v>192</v>
      </c>
      <c r="I30" s="13">
        <v>224</v>
      </c>
      <c r="J30" s="13">
        <v>220</v>
      </c>
      <c r="K30">
        <f>AVERAGE(Tabella2[[#This Row],[2009]:[2023]])</f>
        <v>164.57142857142858</v>
      </c>
      <c r="L30">
        <f>MAX(Tabella2[[#This Row],[2009]:[2023]])</f>
        <v>224</v>
      </c>
      <c r="M30">
        <f>MIN(Tabella2[[#This Row],[2009]:[2023]])</f>
        <v>91</v>
      </c>
    </row>
    <row r="31" spans="1:16" x14ac:dyDescent="0.25">
      <c r="A31" t="s">
        <v>69</v>
      </c>
      <c r="C31" s="5" t="s">
        <v>60</v>
      </c>
      <c r="D31" s="14">
        <v>79</v>
      </c>
      <c r="E31" s="14">
        <v>141</v>
      </c>
      <c r="F31" s="14">
        <v>128</v>
      </c>
      <c r="G31" s="15">
        <v>139</v>
      </c>
      <c r="H31" s="15">
        <v>178</v>
      </c>
      <c r="I31" s="15">
        <v>213</v>
      </c>
      <c r="J31" s="15">
        <v>176</v>
      </c>
      <c r="K31">
        <f>AVERAGE(Tabella2[[#This Row],[2009]:[2023]])</f>
        <v>150.57142857142858</v>
      </c>
      <c r="L31">
        <f>MAX(Tabella2[[#This Row],[2009]:[2023]])</f>
        <v>213</v>
      </c>
      <c r="M31">
        <f>MIN(Tabella2[[#This Row],[2009]:[2023]])</f>
        <v>79</v>
      </c>
    </row>
    <row r="32" spans="1:16" x14ac:dyDescent="0.25">
      <c r="A32" t="s">
        <v>69</v>
      </c>
      <c r="C32" s="4" t="s">
        <v>61</v>
      </c>
      <c r="D32" s="12">
        <v>76</v>
      </c>
      <c r="E32" s="12">
        <v>134</v>
      </c>
      <c r="F32" s="12">
        <v>113</v>
      </c>
      <c r="G32" s="13">
        <v>128</v>
      </c>
      <c r="H32" s="13">
        <v>138</v>
      </c>
      <c r="I32" s="13">
        <v>203</v>
      </c>
      <c r="J32" s="13">
        <v>127</v>
      </c>
      <c r="K32">
        <f>AVERAGE(Tabella2[[#This Row],[2009]:[2023]])</f>
        <v>131.28571428571428</v>
      </c>
      <c r="L32">
        <f>MAX(Tabella2[[#This Row],[2009]:[2023]])</f>
        <v>203</v>
      </c>
      <c r="M32">
        <f>MIN(Tabella2[[#This Row],[2009]:[2023]])</f>
        <v>76</v>
      </c>
    </row>
    <row r="33" spans="1:16" x14ac:dyDescent="0.25">
      <c r="A33" t="s">
        <v>69</v>
      </c>
      <c r="C33" s="5" t="s">
        <v>62</v>
      </c>
      <c r="D33" s="14">
        <v>80</v>
      </c>
      <c r="E33" s="14">
        <v>134</v>
      </c>
      <c r="F33" s="14">
        <v>129</v>
      </c>
      <c r="G33" s="15">
        <v>140</v>
      </c>
      <c r="H33" s="15">
        <v>151</v>
      </c>
      <c r="I33" s="15">
        <v>234</v>
      </c>
      <c r="J33" s="15">
        <v>132</v>
      </c>
      <c r="K33">
        <f>AVERAGE(Tabella2[[#This Row],[2009]:[2023]])</f>
        <v>142.85714285714286</v>
      </c>
      <c r="L33">
        <f>MAX(Tabella2[[#This Row],[2009]:[2023]])</f>
        <v>234</v>
      </c>
      <c r="M33">
        <f>MIN(Tabella2[[#This Row],[2009]:[2023]])</f>
        <v>80</v>
      </c>
    </row>
    <row r="34" spans="1:16" ht="25.5" x14ac:dyDescent="0.25">
      <c r="A34" t="s">
        <v>69</v>
      </c>
      <c r="C34" s="4" t="s">
        <v>63</v>
      </c>
      <c r="D34" s="17">
        <v>71</v>
      </c>
      <c r="E34" s="12">
        <v>104</v>
      </c>
      <c r="F34" s="12">
        <v>102</v>
      </c>
      <c r="G34" s="13">
        <v>117</v>
      </c>
      <c r="H34" s="13">
        <v>137</v>
      </c>
      <c r="I34" s="13">
        <v>229</v>
      </c>
      <c r="J34" s="13">
        <v>104</v>
      </c>
      <c r="K34">
        <f>AVERAGE(Tabella2[[#This Row],[2009]:[2023]])</f>
        <v>123.42857142857143</v>
      </c>
      <c r="L34">
        <f>MAX(Tabella2[[#This Row],[2009]:[2023]])</f>
        <v>229</v>
      </c>
      <c r="M34">
        <f>MIN(Tabella2[[#This Row],[2009]:[2023]])</f>
        <v>71</v>
      </c>
    </row>
    <row r="35" spans="1:16" x14ac:dyDescent="0.25">
      <c r="A35" t="s">
        <v>69</v>
      </c>
      <c r="C35" s="5" t="s">
        <v>64</v>
      </c>
      <c r="D35" s="14">
        <v>83</v>
      </c>
      <c r="E35" s="14">
        <v>103</v>
      </c>
      <c r="F35" s="14">
        <v>107</v>
      </c>
      <c r="G35" s="15">
        <v>133</v>
      </c>
      <c r="H35" s="15">
        <v>140</v>
      </c>
      <c r="I35" s="15">
        <v>228</v>
      </c>
      <c r="J35" s="15">
        <v>105</v>
      </c>
      <c r="K35">
        <f>AVERAGE(Tabella2[[#This Row],[2009]:[2023]])</f>
        <v>128.42857142857142</v>
      </c>
      <c r="L35">
        <f>MAX(Tabella2[[#This Row],[2009]:[2023]])</f>
        <v>228</v>
      </c>
      <c r="M35">
        <f>MIN(Tabella2[[#This Row],[2009]:[2023]])</f>
        <v>83</v>
      </c>
    </row>
    <row r="36" spans="1:16" ht="25.5" x14ac:dyDescent="0.25">
      <c r="A36" t="s">
        <v>69</v>
      </c>
      <c r="C36" s="4" t="s">
        <v>65</v>
      </c>
      <c r="D36" s="12">
        <v>107</v>
      </c>
      <c r="E36" s="12">
        <v>122</v>
      </c>
      <c r="F36" s="12">
        <v>128</v>
      </c>
      <c r="G36" s="13">
        <v>163</v>
      </c>
      <c r="H36" s="13">
        <v>174</v>
      </c>
      <c r="I36" s="18">
        <v>284</v>
      </c>
      <c r="J36" s="13">
        <v>131</v>
      </c>
      <c r="K36">
        <f>AVERAGE(Tabella2[[#This Row],[2009]:[2023]])</f>
        <v>158.42857142857142</v>
      </c>
      <c r="L36">
        <f>MAX(Tabella2[[#This Row],[2009]:[2023]])</f>
        <v>284</v>
      </c>
      <c r="M36">
        <f>MIN(Tabella2[[#This Row],[2009]:[2023]])</f>
        <v>107</v>
      </c>
    </row>
    <row r="37" spans="1:16" ht="25.5" x14ac:dyDescent="0.25">
      <c r="A37" t="s">
        <v>69</v>
      </c>
      <c r="C37" s="5" t="s">
        <v>66</v>
      </c>
      <c r="D37" s="14">
        <v>126</v>
      </c>
      <c r="E37" s="14">
        <v>130</v>
      </c>
      <c r="F37" s="14">
        <v>136</v>
      </c>
      <c r="G37" s="15">
        <v>175</v>
      </c>
      <c r="H37" s="15">
        <v>187</v>
      </c>
      <c r="I37" s="15">
        <v>282</v>
      </c>
      <c r="J37" s="15">
        <v>164</v>
      </c>
      <c r="K37">
        <f>AVERAGE(Tabella2[[#This Row],[2009]:[2023]])</f>
        <v>171.42857142857142</v>
      </c>
      <c r="L37">
        <f>MAX(Tabella2[[#This Row],[2009]:[2023]])</f>
        <v>282</v>
      </c>
      <c r="M37">
        <f>MIN(Tabella2[[#This Row],[2009]:[2023]])</f>
        <v>126</v>
      </c>
    </row>
    <row r="38" spans="1:16" x14ac:dyDescent="0.25">
      <c r="A38" t="s">
        <v>36</v>
      </c>
      <c r="C38" s="4" t="s">
        <v>55</v>
      </c>
      <c r="D38" s="12">
        <v>148</v>
      </c>
      <c r="E38" s="12">
        <v>202</v>
      </c>
      <c r="F38" s="12">
        <v>198</v>
      </c>
      <c r="G38" s="13">
        <v>180</v>
      </c>
      <c r="H38" s="13">
        <v>207</v>
      </c>
      <c r="I38" s="13">
        <v>296</v>
      </c>
      <c r="J38" s="13">
        <v>330</v>
      </c>
      <c r="K38">
        <f>AVERAGE(Tabella2[[#This Row],[2009]:[2023]])</f>
        <v>223</v>
      </c>
      <c r="L38">
        <f>MAX(Tabella2[[#This Row],[2009]:[2023]])</f>
        <v>330</v>
      </c>
      <c r="M38">
        <f>MIN(Tabella2[[#This Row],[2009]:[2023]])</f>
        <v>148</v>
      </c>
      <c r="N38">
        <f>AVERAGE(D38:J49)</f>
        <v>219.30136986301369</v>
      </c>
      <c r="O38" s="1">
        <f t="shared" ref="O38" si="4">MAX(D38:J49)</f>
        <v>378</v>
      </c>
      <c r="P38" s="1">
        <f t="shared" ref="P38" si="5">MIN(D38:J49)</f>
        <v>125</v>
      </c>
    </row>
    <row r="39" spans="1:16" x14ac:dyDescent="0.25">
      <c r="A39" t="s">
        <v>36</v>
      </c>
      <c r="C39" s="5" t="s">
        <v>56</v>
      </c>
      <c r="D39" s="14">
        <v>148</v>
      </c>
      <c r="E39" s="14">
        <v>199</v>
      </c>
      <c r="F39" s="14">
        <v>197</v>
      </c>
      <c r="G39" s="15">
        <v>183</v>
      </c>
      <c r="H39" s="15">
        <v>222</v>
      </c>
      <c r="I39" s="15">
        <v>291</v>
      </c>
      <c r="J39" s="15">
        <v>321</v>
      </c>
      <c r="K39">
        <f>AVERAGE(Tabella2[[#This Row],[2009]:[2023]])</f>
        <v>223</v>
      </c>
      <c r="L39">
        <f>MAX(Tabella2[[#This Row],[2009]:[2023]])</f>
        <v>321</v>
      </c>
      <c r="M39">
        <f>MIN(Tabella2[[#This Row],[2009]:[2023]])</f>
        <v>148</v>
      </c>
    </row>
    <row r="40" spans="1:16" x14ac:dyDescent="0.25">
      <c r="A40" t="s">
        <v>36</v>
      </c>
      <c r="C40" s="4" t="s">
        <v>57</v>
      </c>
      <c r="D40" s="12">
        <v>140</v>
      </c>
      <c r="E40" s="12">
        <v>209</v>
      </c>
      <c r="F40" s="12">
        <v>191</v>
      </c>
      <c r="G40" s="13">
        <v>185</v>
      </c>
      <c r="H40" s="13">
        <v>222</v>
      </c>
      <c r="I40" s="13">
        <v>368</v>
      </c>
      <c r="J40" s="13">
        <v>302</v>
      </c>
      <c r="K40">
        <f>AVERAGE(Tabella2[[#This Row],[2009]:[2023]])</f>
        <v>231</v>
      </c>
      <c r="L40">
        <f>MAX(Tabella2[[#This Row],[2009]:[2023]])</f>
        <v>368</v>
      </c>
      <c r="M40">
        <f>MIN(Tabella2[[#This Row],[2009]:[2023]])</f>
        <v>140</v>
      </c>
    </row>
    <row r="41" spans="1:16" x14ac:dyDescent="0.25">
      <c r="A41" t="s">
        <v>36</v>
      </c>
      <c r="C41" s="5" t="s">
        <v>58</v>
      </c>
      <c r="D41" s="14">
        <v>138</v>
      </c>
      <c r="E41" s="14">
        <v>213</v>
      </c>
      <c r="F41" s="14">
        <v>190</v>
      </c>
      <c r="G41" s="15">
        <v>185</v>
      </c>
      <c r="H41" s="15">
        <v>226</v>
      </c>
      <c r="I41" s="16">
        <v>378</v>
      </c>
      <c r="J41" s="15">
        <v>282</v>
      </c>
      <c r="K41">
        <f>AVERAGE(Tabella2[[#This Row],[2009]:[2023]])</f>
        <v>230.28571428571428</v>
      </c>
      <c r="L41">
        <f>MAX(Tabella2[[#This Row],[2009]:[2023]])</f>
        <v>378</v>
      </c>
      <c r="M41">
        <f>MIN(Tabella2[[#This Row],[2009]:[2023]])</f>
        <v>138</v>
      </c>
    </row>
    <row r="42" spans="1:16" x14ac:dyDescent="0.25">
      <c r="A42" t="s">
        <v>36</v>
      </c>
      <c r="C42" s="4" t="s">
        <v>59</v>
      </c>
      <c r="D42" s="12">
        <v>161</v>
      </c>
      <c r="E42" s="12">
        <v>213</v>
      </c>
      <c r="F42" s="12">
        <v>187</v>
      </c>
      <c r="G42" s="13">
        <v>184</v>
      </c>
      <c r="H42" s="13">
        <v>248</v>
      </c>
      <c r="I42" s="18">
        <v>378</v>
      </c>
      <c r="J42" s="13">
        <v>270</v>
      </c>
      <c r="K42">
        <f>AVERAGE(Tabella2[[#This Row],[2009]:[2023]])</f>
        <v>234.42857142857142</v>
      </c>
      <c r="L42">
        <f>MAX(Tabella2[[#This Row],[2009]:[2023]])</f>
        <v>378</v>
      </c>
      <c r="M42">
        <f>MIN(Tabella2[[#This Row],[2009]:[2023]])</f>
        <v>161</v>
      </c>
    </row>
    <row r="43" spans="1:16" x14ac:dyDescent="0.25">
      <c r="A43" t="s">
        <v>36</v>
      </c>
      <c r="C43" s="5" t="s">
        <v>60</v>
      </c>
      <c r="D43" s="14">
        <v>165</v>
      </c>
      <c r="E43" s="14">
        <v>214</v>
      </c>
      <c r="F43" s="14">
        <v>187</v>
      </c>
      <c r="G43" s="15">
        <v>189</v>
      </c>
      <c r="H43" s="15">
        <v>249</v>
      </c>
      <c r="I43" s="15"/>
      <c r="J43" s="15"/>
      <c r="K43">
        <f>AVERAGE(Tabella2[[#This Row],[2009]:[2023]])</f>
        <v>200.8</v>
      </c>
      <c r="L43">
        <f>MAX(Tabella2[[#This Row],[2009]:[2023]])</f>
        <v>249</v>
      </c>
      <c r="M43">
        <f>MIN(Tabella2[[#This Row],[2009]:[2023]])</f>
        <v>165</v>
      </c>
    </row>
    <row r="44" spans="1:16" x14ac:dyDescent="0.25">
      <c r="A44" t="s">
        <v>36</v>
      </c>
      <c r="C44" s="4" t="s">
        <v>61</v>
      </c>
      <c r="D44" s="12"/>
      <c r="E44" s="12"/>
      <c r="F44" s="12">
        <v>187</v>
      </c>
      <c r="G44" s="13">
        <v>191</v>
      </c>
      <c r="H44" s="13"/>
      <c r="I44" s="13"/>
      <c r="J44" s="13"/>
      <c r="K44">
        <f>AVERAGE(Tabella2[[#This Row],[2009]:[2023]])</f>
        <v>189</v>
      </c>
      <c r="L44">
        <f>MAX(Tabella2[[#This Row],[2009]:[2023]])</f>
        <v>191</v>
      </c>
      <c r="M44">
        <f>MIN(Tabella2[[#This Row],[2009]:[2023]])</f>
        <v>187</v>
      </c>
    </row>
    <row r="45" spans="1:16" x14ac:dyDescent="0.25">
      <c r="A45" t="s">
        <v>36</v>
      </c>
      <c r="C45" s="5" t="s">
        <v>62</v>
      </c>
      <c r="D45" s="19">
        <v>125</v>
      </c>
      <c r="E45" s="14"/>
      <c r="F45" s="14"/>
      <c r="G45" s="15">
        <v>180</v>
      </c>
      <c r="H45" s="15"/>
      <c r="I45" s="15">
        <v>363</v>
      </c>
      <c r="J45" s="15"/>
      <c r="K45">
        <f>AVERAGE(Tabella2[[#This Row],[2009]:[2023]])</f>
        <v>222.66666666666666</v>
      </c>
      <c r="L45">
        <f>MAX(Tabella2[[#This Row],[2009]:[2023]])</f>
        <v>363</v>
      </c>
      <c r="M45">
        <f>MIN(Tabella2[[#This Row],[2009]:[2023]])</f>
        <v>125</v>
      </c>
    </row>
    <row r="46" spans="1:16" ht="25.5" x14ac:dyDescent="0.25">
      <c r="A46" t="s">
        <v>36</v>
      </c>
      <c r="C46" s="4" t="s">
        <v>63</v>
      </c>
      <c r="D46" s="17">
        <v>125</v>
      </c>
      <c r="E46" s="12">
        <v>160</v>
      </c>
      <c r="F46" s="12">
        <v>167</v>
      </c>
      <c r="G46" s="13">
        <v>176</v>
      </c>
      <c r="H46" s="13">
        <v>251</v>
      </c>
      <c r="I46" s="13">
        <v>357</v>
      </c>
      <c r="J46" s="13">
        <v>213</v>
      </c>
      <c r="K46">
        <f>AVERAGE(Tabella2[[#This Row],[2009]:[2023]])</f>
        <v>207</v>
      </c>
      <c r="L46">
        <f>MAX(Tabella2[[#This Row],[2009]:[2023]])</f>
        <v>357</v>
      </c>
      <c r="M46">
        <f>MIN(Tabella2[[#This Row],[2009]:[2023]])</f>
        <v>125</v>
      </c>
    </row>
    <row r="47" spans="1:16" x14ac:dyDescent="0.25">
      <c r="A47" t="s">
        <v>36</v>
      </c>
      <c r="C47" s="5" t="s">
        <v>64</v>
      </c>
      <c r="D47" s="14">
        <v>134</v>
      </c>
      <c r="E47" s="14">
        <v>160</v>
      </c>
      <c r="F47" s="14">
        <v>168</v>
      </c>
      <c r="G47" s="15">
        <v>176</v>
      </c>
      <c r="H47" s="15">
        <v>274</v>
      </c>
      <c r="I47" s="15">
        <v>357</v>
      </c>
      <c r="J47" s="15">
        <v>200</v>
      </c>
      <c r="K47">
        <f>AVERAGE(Tabella2[[#This Row],[2009]:[2023]])</f>
        <v>209.85714285714286</v>
      </c>
      <c r="L47">
        <f>MAX(Tabella2[[#This Row],[2009]:[2023]])</f>
        <v>357</v>
      </c>
      <c r="M47">
        <f>MIN(Tabella2[[#This Row],[2009]:[2023]])</f>
        <v>134</v>
      </c>
    </row>
    <row r="48" spans="1:16" ht="25.5" x14ac:dyDescent="0.25">
      <c r="A48" t="s">
        <v>36</v>
      </c>
      <c r="C48" s="4" t="s">
        <v>65</v>
      </c>
      <c r="D48" s="12">
        <v>142</v>
      </c>
      <c r="E48" s="12">
        <v>169</v>
      </c>
      <c r="F48" s="12">
        <v>173</v>
      </c>
      <c r="G48" s="13">
        <v>186</v>
      </c>
      <c r="H48" s="13">
        <v>293</v>
      </c>
      <c r="I48" s="13">
        <v>353</v>
      </c>
      <c r="J48" s="13">
        <v>206</v>
      </c>
      <c r="K48">
        <f>AVERAGE(Tabella2[[#This Row],[2009]:[2023]])</f>
        <v>217.42857142857142</v>
      </c>
      <c r="L48">
        <f>MAX(Tabella2[[#This Row],[2009]:[2023]])</f>
        <v>353</v>
      </c>
      <c r="M48">
        <f>MIN(Tabella2[[#This Row],[2009]:[2023]])</f>
        <v>142</v>
      </c>
    </row>
    <row r="49" spans="1:16" ht="25.5" x14ac:dyDescent="0.25">
      <c r="A49" t="s">
        <v>36</v>
      </c>
      <c r="C49" s="5" t="s">
        <v>66</v>
      </c>
      <c r="D49" s="14">
        <v>146</v>
      </c>
      <c r="E49" s="14">
        <v>172</v>
      </c>
      <c r="F49" s="14">
        <v>175</v>
      </c>
      <c r="G49" s="15">
        <v>190</v>
      </c>
      <c r="H49" s="15">
        <v>298</v>
      </c>
      <c r="I49" s="15">
        <v>332</v>
      </c>
      <c r="J49" s="15">
        <v>214</v>
      </c>
      <c r="K49">
        <f>AVERAGE(Tabella2[[#This Row],[2009]:[2023]])</f>
        <v>218.14285714285714</v>
      </c>
      <c r="L49">
        <f>MAX(Tabella2[[#This Row],[2009]:[2023]])</f>
        <v>332</v>
      </c>
      <c r="M49">
        <f>MIN(Tabella2[[#This Row],[2009]:[2023]])</f>
        <v>146</v>
      </c>
    </row>
    <row r="50" spans="1:16" x14ac:dyDescent="0.25">
      <c r="A50" t="s">
        <v>70</v>
      </c>
      <c r="C50" s="4" t="s">
        <v>55</v>
      </c>
      <c r="D50" s="1"/>
      <c r="E50" s="12">
        <v>209</v>
      </c>
      <c r="F50" s="12">
        <v>175</v>
      </c>
      <c r="G50" s="13">
        <v>163</v>
      </c>
      <c r="H50" s="13">
        <v>208</v>
      </c>
      <c r="I50" s="13">
        <v>234</v>
      </c>
      <c r="J50" s="13">
        <v>325</v>
      </c>
      <c r="K50">
        <f>AVERAGE(Tabella2[[#This Row],[2009]:[2023]])</f>
        <v>219</v>
      </c>
      <c r="L50">
        <f>MAX(Tabella2[[#This Row],[2009]:[2023]])</f>
        <v>325</v>
      </c>
      <c r="M50">
        <f>MIN(Tabella2[[#This Row],[2009]:[2023]])</f>
        <v>163</v>
      </c>
      <c r="N50">
        <f>AVERAGE(D50:J61)</f>
        <v>231.52777777777777</v>
      </c>
      <c r="O50" s="1">
        <f t="shared" ref="O50" si="6">MAX(D50:J61)</f>
        <v>350</v>
      </c>
      <c r="P50" s="1">
        <f t="shared" ref="P50" si="7">MIN(D50:J61)</f>
        <v>154</v>
      </c>
    </row>
    <row r="51" spans="1:16" x14ac:dyDescent="0.25">
      <c r="A51" t="s">
        <v>70</v>
      </c>
      <c r="C51" s="5" t="s">
        <v>56</v>
      </c>
      <c r="D51" s="1"/>
      <c r="E51" s="14">
        <v>204</v>
      </c>
      <c r="F51" s="14">
        <v>173</v>
      </c>
      <c r="G51" s="15">
        <v>166</v>
      </c>
      <c r="H51" s="15">
        <v>230</v>
      </c>
      <c r="I51" s="15">
        <v>240</v>
      </c>
      <c r="J51" s="15">
        <v>328</v>
      </c>
      <c r="K51">
        <f>AVERAGE(Tabella2[[#This Row],[2009]:[2023]])</f>
        <v>223.5</v>
      </c>
      <c r="L51">
        <f>MAX(Tabella2[[#This Row],[2009]:[2023]])</f>
        <v>328</v>
      </c>
      <c r="M51">
        <f>MIN(Tabella2[[#This Row],[2009]:[2023]])</f>
        <v>166</v>
      </c>
    </row>
    <row r="52" spans="1:16" x14ac:dyDescent="0.25">
      <c r="A52" t="s">
        <v>70</v>
      </c>
      <c r="C52" s="4" t="s">
        <v>57</v>
      </c>
      <c r="D52" s="1"/>
      <c r="E52" s="12">
        <v>204</v>
      </c>
      <c r="F52" s="12">
        <v>173</v>
      </c>
      <c r="G52" s="13">
        <v>166</v>
      </c>
      <c r="H52" s="13">
        <v>233</v>
      </c>
      <c r="I52" s="13">
        <v>317</v>
      </c>
      <c r="J52" s="13">
        <v>330</v>
      </c>
      <c r="K52">
        <f>AVERAGE(Tabella2[[#This Row],[2009]:[2023]])</f>
        <v>237.16666666666666</v>
      </c>
      <c r="L52">
        <f>MAX(Tabella2[[#This Row],[2009]:[2023]])</f>
        <v>330</v>
      </c>
      <c r="M52">
        <f>MIN(Tabella2[[#This Row],[2009]:[2023]])</f>
        <v>166</v>
      </c>
    </row>
    <row r="53" spans="1:16" x14ac:dyDescent="0.25">
      <c r="A53" t="s">
        <v>70</v>
      </c>
      <c r="C53" s="5" t="s">
        <v>58</v>
      </c>
      <c r="D53" s="1"/>
      <c r="E53" s="14">
        <v>207</v>
      </c>
      <c r="F53" s="14">
        <v>173</v>
      </c>
      <c r="G53" s="15">
        <v>169</v>
      </c>
      <c r="H53" s="15">
        <v>237</v>
      </c>
      <c r="I53" s="15">
        <v>344</v>
      </c>
      <c r="J53" s="15">
        <v>333</v>
      </c>
      <c r="K53">
        <f>AVERAGE(Tabella2[[#This Row],[2009]:[2023]])</f>
        <v>243.83333333333334</v>
      </c>
      <c r="L53">
        <f>MAX(Tabella2[[#This Row],[2009]:[2023]])</f>
        <v>344</v>
      </c>
      <c r="M53">
        <f>MIN(Tabella2[[#This Row],[2009]:[2023]])</f>
        <v>169</v>
      </c>
    </row>
    <row r="54" spans="1:16" x14ac:dyDescent="0.25">
      <c r="A54" t="s">
        <v>70</v>
      </c>
      <c r="C54" s="4" t="s">
        <v>59</v>
      </c>
      <c r="D54" s="1"/>
      <c r="E54" s="12">
        <v>201</v>
      </c>
      <c r="F54" s="12">
        <v>173</v>
      </c>
      <c r="G54" s="13">
        <v>169</v>
      </c>
      <c r="H54" s="13">
        <v>246</v>
      </c>
      <c r="I54" s="18">
        <v>350</v>
      </c>
      <c r="J54" s="13">
        <v>328</v>
      </c>
      <c r="K54">
        <f>AVERAGE(Tabella2[[#This Row],[2009]:[2023]])</f>
        <v>244.5</v>
      </c>
      <c r="L54">
        <f>MAX(Tabella2[[#This Row],[2009]:[2023]])</f>
        <v>350</v>
      </c>
      <c r="M54">
        <f>MIN(Tabella2[[#This Row],[2009]:[2023]])</f>
        <v>169</v>
      </c>
    </row>
    <row r="55" spans="1:16" x14ac:dyDescent="0.25">
      <c r="A55" t="s">
        <v>70</v>
      </c>
      <c r="C55" s="5" t="s">
        <v>60</v>
      </c>
      <c r="D55" s="1"/>
      <c r="E55" s="14">
        <v>197</v>
      </c>
      <c r="F55" s="14">
        <v>174</v>
      </c>
      <c r="G55" s="15">
        <v>171</v>
      </c>
      <c r="H55" s="15">
        <v>241</v>
      </c>
      <c r="I55" s="15">
        <v>333</v>
      </c>
      <c r="J55" s="15">
        <v>318</v>
      </c>
      <c r="K55">
        <f>AVERAGE(Tabella2[[#This Row],[2009]:[2023]])</f>
        <v>239</v>
      </c>
      <c r="L55">
        <f>MAX(Tabella2[[#This Row],[2009]:[2023]])</f>
        <v>333</v>
      </c>
      <c r="M55">
        <f>MIN(Tabella2[[#This Row],[2009]:[2023]])</f>
        <v>171</v>
      </c>
    </row>
    <row r="56" spans="1:16" x14ac:dyDescent="0.25">
      <c r="A56" t="s">
        <v>70</v>
      </c>
      <c r="C56" s="4" t="s">
        <v>61</v>
      </c>
      <c r="D56" s="1"/>
      <c r="E56" s="12">
        <v>188</v>
      </c>
      <c r="F56" s="12">
        <v>174</v>
      </c>
      <c r="G56" s="13">
        <v>171</v>
      </c>
      <c r="H56" s="13">
        <v>242</v>
      </c>
      <c r="I56" s="13">
        <v>334</v>
      </c>
      <c r="J56" s="13">
        <v>323</v>
      </c>
      <c r="K56">
        <f>AVERAGE(Tabella2[[#This Row],[2009]:[2023]])</f>
        <v>238.66666666666666</v>
      </c>
      <c r="L56">
        <f>MAX(Tabella2[[#This Row],[2009]:[2023]])</f>
        <v>334</v>
      </c>
      <c r="M56">
        <f>MIN(Tabella2[[#This Row],[2009]:[2023]])</f>
        <v>171</v>
      </c>
    </row>
    <row r="57" spans="1:16" x14ac:dyDescent="0.25">
      <c r="A57" t="s">
        <v>70</v>
      </c>
      <c r="C57" s="5" t="s">
        <v>62</v>
      </c>
      <c r="D57" s="1"/>
      <c r="E57" s="14">
        <v>183</v>
      </c>
      <c r="F57" s="14">
        <v>174</v>
      </c>
      <c r="G57" s="15">
        <v>171</v>
      </c>
      <c r="H57" s="15">
        <v>246</v>
      </c>
      <c r="I57" s="15">
        <v>344</v>
      </c>
      <c r="J57" s="15">
        <v>323</v>
      </c>
      <c r="K57">
        <f>AVERAGE(Tabella2[[#This Row],[2009]:[2023]])</f>
        <v>240.16666666666666</v>
      </c>
      <c r="L57">
        <f>MAX(Tabella2[[#This Row],[2009]:[2023]])</f>
        <v>344</v>
      </c>
      <c r="M57">
        <f>MIN(Tabella2[[#This Row],[2009]:[2023]])</f>
        <v>171</v>
      </c>
    </row>
    <row r="58" spans="1:16" ht="25.5" x14ac:dyDescent="0.25">
      <c r="A58" t="s">
        <v>70</v>
      </c>
      <c r="C58" s="4" t="s">
        <v>63</v>
      </c>
      <c r="D58" s="1"/>
      <c r="E58" s="12">
        <v>171</v>
      </c>
      <c r="F58" s="12">
        <v>173</v>
      </c>
      <c r="G58" s="13">
        <v>170</v>
      </c>
      <c r="H58" s="13">
        <v>235</v>
      </c>
      <c r="I58" s="13">
        <v>341</v>
      </c>
      <c r="J58" s="13">
        <v>295</v>
      </c>
      <c r="K58">
        <f>AVERAGE(Tabella2[[#This Row],[2009]:[2023]])</f>
        <v>230.83333333333334</v>
      </c>
      <c r="L58">
        <f>MAX(Tabella2[[#This Row],[2009]:[2023]])</f>
        <v>341</v>
      </c>
      <c r="M58">
        <f>MIN(Tabella2[[#This Row],[2009]:[2023]])</f>
        <v>170</v>
      </c>
    </row>
    <row r="59" spans="1:16" x14ac:dyDescent="0.25">
      <c r="A59" t="s">
        <v>70</v>
      </c>
      <c r="C59" s="5" t="s">
        <v>64</v>
      </c>
      <c r="D59" s="1"/>
      <c r="E59" s="19">
        <v>154</v>
      </c>
      <c r="F59" s="14">
        <v>169</v>
      </c>
      <c r="G59" s="15">
        <v>174</v>
      </c>
      <c r="H59" s="15">
        <v>233</v>
      </c>
      <c r="I59" s="15">
        <v>343</v>
      </c>
      <c r="J59" s="15">
        <v>261</v>
      </c>
      <c r="K59">
        <f>AVERAGE(Tabella2[[#This Row],[2009]:[2023]])</f>
        <v>222.33333333333334</v>
      </c>
      <c r="L59">
        <f>MAX(Tabella2[[#This Row],[2009]:[2023]])</f>
        <v>343</v>
      </c>
      <c r="M59">
        <f>MIN(Tabella2[[#This Row],[2009]:[2023]])</f>
        <v>154</v>
      </c>
    </row>
    <row r="60" spans="1:16" ht="25.5" x14ac:dyDescent="0.25">
      <c r="A60" t="s">
        <v>70</v>
      </c>
      <c r="C60" s="4" t="s">
        <v>65</v>
      </c>
      <c r="D60" s="1"/>
      <c r="E60" s="12">
        <v>157</v>
      </c>
      <c r="F60" s="12">
        <v>163</v>
      </c>
      <c r="G60" s="13">
        <v>181</v>
      </c>
      <c r="H60" s="13">
        <v>229</v>
      </c>
      <c r="I60" s="13">
        <v>339</v>
      </c>
      <c r="J60" s="13">
        <v>253</v>
      </c>
      <c r="K60">
        <f>AVERAGE(Tabella2[[#This Row],[2009]:[2023]])</f>
        <v>220.33333333333334</v>
      </c>
      <c r="L60">
        <f>MAX(Tabella2[[#This Row],[2009]:[2023]])</f>
        <v>339</v>
      </c>
      <c r="M60">
        <f>MIN(Tabella2[[#This Row],[2009]:[2023]])</f>
        <v>157</v>
      </c>
    </row>
    <row r="61" spans="1:16" ht="25.5" x14ac:dyDescent="0.25">
      <c r="A61" t="s">
        <v>70</v>
      </c>
      <c r="C61" s="5" t="s">
        <v>66</v>
      </c>
      <c r="D61" s="1"/>
      <c r="E61" s="14">
        <v>158</v>
      </c>
      <c r="F61" s="14">
        <v>163</v>
      </c>
      <c r="G61" s="15">
        <v>188</v>
      </c>
      <c r="H61" s="15">
        <v>229</v>
      </c>
      <c r="I61" s="15">
        <v>323</v>
      </c>
      <c r="J61" s="15">
        <v>253</v>
      </c>
      <c r="K61">
        <f>AVERAGE(Tabella2[[#This Row],[2009]:[2023]])</f>
        <v>219</v>
      </c>
      <c r="L61">
        <f>MAX(Tabella2[[#This Row],[2009]:[2023]])</f>
        <v>323</v>
      </c>
      <c r="M61">
        <f>MIN(Tabella2[[#This Row],[2009]:[2023]])</f>
        <v>158</v>
      </c>
    </row>
    <row r="62" spans="1:16" x14ac:dyDescent="0.25">
      <c r="A62" t="s">
        <v>71</v>
      </c>
      <c r="C62" s="4" t="s">
        <v>55</v>
      </c>
      <c r="D62" s="12">
        <v>163</v>
      </c>
      <c r="E62" s="12">
        <v>194</v>
      </c>
      <c r="F62" s="17">
        <v>154</v>
      </c>
      <c r="G62" s="13">
        <v>191</v>
      </c>
      <c r="H62" s="13">
        <v>214</v>
      </c>
      <c r="I62" s="13">
        <v>222</v>
      </c>
      <c r="J62" s="13">
        <v>340</v>
      </c>
      <c r="K62">
        <f>AVERAGE(Tabella2[[#This Row],[2009]:[2023]])</f>
        <v>211.14285714285714</v>
      </c>
      <c r="L62">
        <f>MAX(Tabella2[[#This Row],[2009]:[2023]])</f>
        <v>340</v>
      </c>
      <c r="M62">
        <f>MIN(Tabella2[[#This Row],[2009]:[2023]])</f>
        <v>154</v>
      </c>
      <c r="N62">
        <f>AVERAGE(D62:J73)</f>
        <v>223.48809523809524</v>
      </c>
      <c r="O62" s="1">
        <f t="shared" ref="O62" si="8">MAX(D62:J73)</f>
        <v>348</v>
      </c>
      <c r="P62" s="1">
        <f t="shared" ref="P62" si="9">MIN(D62:J73)</f>
        <v>154</v>
      </c>
    </row>
    <row r="63" spans="1:16" x14ac:dyDescent="0.25">
      <c r="A63" t="s">
        <v>71</v>
      </c>
      <c r="C63" s="5" t="s">
        <v>56</v>
      </c>
      <c r="D63" s="14">
        <v>165</v>
      </c>
      <c r="E63" s="14">
        <v>194</v>
      </c>
      <c r="F63" s="14">
        <v>155</v>
      </c>
      <c r="G63" s="15">
        <v>197</v>
      </c>
      <c r="H63" s="15">
        <v>215</v>
      </c>
      <c r="I63" s="15">
        <v>225</v>
      </c>
      <c r="J63" s="15">
        <v>333</v>
      </c>
      <c r="K63">
        <f>AVERAGE(Tabella2[[#This Row],[2009]:[2023]])</f>
        <v>212</v>
      </c>
      <c r="L63">
        <f>MAX(Tabella2[[#This Row],[2009]:[2023]])</f>
        <v>333</v>
      </c>
      <c r="M63">
        <f>MIN(Tabella2[[#This Row],[2009]:[2023]])</f>
        <v>155</v>
      </c>
    </row>
    <row r="64" spans="1:16" x14ac:dyDescent="0.25">
      <c r="A64" t="s">
        <v>71</v>
      </c>
      <c r="C64" s="4" t="s">
        <v>57</v>
      </c>
      <c r="D64" s="12">
        <v>166</v>
      </c>
      <c r="E64" s="12">
        <v>194</v>
      </c>
      <c r="F64" s="12">
        <v>155</v>
      </c>
      <c r="G64" s="13">
        <v>200</v>
      </c>
      <c r="H64" s="13">
        <v>216</v>
      </c>
      <c r="I64" s="13">
        <v>235</v>
      </c>
      <c r="J64" s="13">
        <v>325</v>
      </c>
      <c r="K64">
        <f>AVERAGE(Tabella2[[#This Row],[2009]:[2023]])</f>
        <v>213</v>
      </c>
      <c r="L64">
        <f>MAX(Tabella2[[#This Row],[2009]:[2023]])</f>
        <v>325</v>
      </c>
      <c r="M64">
        <f>MIN(Tabella2[[#This Row],[2009]:[2023]])</f>
        <v>155</v>
      </c>
    </row>
    <row r="65" spans="1:16" x14ac:dyDescent="0.25">
      <c r="A65" t="s">
        <v>71</v>
      </c>
      <c r="C65" s="5" t="s">
        <v>58</v>
      </c>
      <c r="D65" s="14">
        <v>166</v>
      </c>
      <c r="E65" s="14">
        <v>193</v>
      </c>
      <c r="F65" s="14">
        <v>159</v>
      </c>
      <c r="G65" s="15">
        <v>208</v>
      </c>
      <c r="H65" s="15">
        <v>218</v>
      </c>
      <c r="I65" s="15">
        <v>254</v>
      </c>
      <c r="J65" s="15">
        <v>325</v>
      </c>
      <c r="K65">
        <f>AVERAGE(Tabella2[[#This Row],[2009]:[2023]])</f>
        <v>217.57142857142858</v>
      </c>
      <c r="L65">
        <f>MAX(Tabella2[[#This Row],[2009]:[2023]])</f>
        <v>325</v>
      </c>
      <c r="M65">
        <f>MIN(Tabella2[[#This Row],[2009]:[2023]])</f>
        <v>159</v>
      </c>
    </row>
    <row r="66" spans="1:16" x14ac:dyDescent="0.25">
      <c r="A66" t="s">
        <v>71</v>
      </c>
      <c r="C66" s="4" t="s">
        <v>59</v>
      </c>
      <c r="D66" s="12">
        <v>166</v>
      </c>
      <c r="E66" s="12">
        <v>193</v>
      </c>
      <c r="F66" s="12">
        <v>167</v>
      </c>
      <c r="G66" s="13">
        <v>210</v>
      </c>
      <c r="H66" s="13">
        <v>218</v>
      </c>
      <c r="I66" s="13">
        <v>281</v>
      </c>
      <c r="J66" s="13">
        <v>322</v>
      </c>
      <c r="K66">
        <f>AVERAGE(Tabella2[[#This Row],[2009]:[2023]])</f>
        <v>222.42857142857142</v>
      </c>
      <c r="L66">
        <f>MAX(Tabella2[[#This Row],[2009]:[2023]])</f>
        <v>322</v>
      </c>
      <c r="M66">
        <f>MIN(Tabella2[[#This Row],[2009]:[2023]])</f>
        <v>166</v>
      </c>
    </row>
    <row r="67" spans="1:16" x14ac:dyDescent="0.25">
      <c r="A67" t="s">
        <v>71</v>
      </c>
      <c r="C67" s="5" t="s">
        <v>60</v>
      </c>
      <c r="D67" s="14">
        <v>166</v>
      </c>
      <c r="E67" s="14">
        <v>193</v>
      </c>
      <c r="F67" s="14">
        <v>168</v>
      </c>
      <c r="G67" s="15">
        <v>210</v>
      </c>
      <c r="H67" s="15">
        <v>217</v>
      </c>
      <c r="I67" s="15">
        <v>313</v>
      </c>
      <c r="J67" s="15">
        <v>318</v>
      </c>
      <c r="K67">
        <f>AVERAGE(Tabella2[[#This Row],[2009]:[2023]])</f>
        <v>226.42857142857142</v>
      </c>
      <c r="L67">
        <f>MAX(Tabella2[[#This Row],[2009]:[2023]])</f>
        <v>318</v>
      </c>
      <c r="M67">
        <f>MIN(Tabella2[[#This Row],[2009]:[2023]])</f>
        <v>166</v>
      </c>
    </row>
    <row r="68" spans="1:16" x14ac:dyDescent="0.25">
      <c r="A68" t="s">
        <v>71</v>
      </c>
      <c r="C68" s="4" t="s">
        <v>61</v>
      </c>
      <c r="D68" s="12">
        <v>166</v>
      </c>
      <c r="E68" s="12">
        <v>192</v>
      </c>
      <c r="F68" s="12">
        <v>168</v>
      </c>
      <c r="G68" s="13">
        <v>210</v>
      </c>
      <c r="H68" s="13">
        <v>216</v>
      </c>
      <c r="I68" s="13">
        <v>323</v>
      </c>
      <c r="J68" s="13">
        <v>315</v>
      </c>
      <c r="K68">
        <f>AVERAGE(Tabella2[[#This Row],[2009]:[2023]])</f>
        <v>227.14285714285714</v>
      </c>
      <c r="L68">
        <f>MAX(Tabella2[[#This Row],[2009]:[2023]])</f>
        <v>323</v>
      </c>
      <c r="M68">
        <f>MIN(Tabella2[[#This Row],[2009]:[2023]])</f>
        <v>166</v>
      </c>
    </row>
    <row r="69" spans="1:16" x14ac:dyDescent="0.25">
      <c r="A69" t="s">
        <v>71</v>
      </c>
      <c r="C69" s="5" t="s">
        <v>62</v>
      </c>
      <c r="D69" s="14">
        <v>162</v>
      </c>
      <c r="E69" s="14">
        <v>192</v>
      </c>
      <c r="F69" s="14">
        <v>168</v>
      </c>
      <c r="G69" s="15">
        <v>210</v>
      </c>
      <c r="H69" s="15">
        <v>216</v>
      </c>
      <c r="I69" s="15">
        <v>328</v>
      </c>
      <c r="J69" s="15">
        <v>315</v>
      </c>
      <c r="K69">
        <f>AVERAGE(Tabella2[[#This Row],[2009]:[2023]])</f>
        <v>227.28571428571428</v>
      </c>
      <c r="L69">
        <f>MAX(Tabella2[[#This Row],[2009]:[2023]])</f>
        <v>328</v>
      </c>
      <c r="M69">
        <f>MIN(Tabella2[[#This Row],[2009]:[2023]])</f>
        <v>162</v>
      </c>
    </row>
    <row r="70" spans="1:16" ht="25.5" x14ac:dyDescent="0.25">
      <c r="A70" t="s">
        <v>71</v>
      </c>
      <c r="C70" s="4" t="s">
        <v>63</v>
      </c>
      <c r="D70" s="12">
        <v>162</v>
      </c>
      <c r="E70" s="12">
        <v>192</v>
      </c>
      <c r="F70" s="12">
        <v>173</v>
      </c>
      <c r="G70" s="13">
        <v>212</v>
      </c>
      <c r="H70" s="13">
        <v>218</v>
      </c>
      <c r="I70" s="13">
        <v>333</v>
      </c>
      <c r="J70" s="13">
        <v>315</v>
      </c>
      <c r="K70">
        <f>AVERAGE(Tabella2[[#This Row],[2009]:[2023]])</f>
        <v>229.28571428571428</v>
      </c>
      <c r="L70">
        <f>MAX(Tabella2[[#This Row],[2009]:[2023]])</f>
        <v>333</v>
      </c>
      <c r="M70">
        <f>MIN(Tabella2[[#This Row],[2009]:[2023]])</f>
        <v>162</v>
      </c>
    </row>
    <row r="71" spans="1:16" x14ac:dyDescent="0.25">
      <c r="A71" t="s">
        <v>71</v>
      </c>
      <c r="C71" s="5" t="s">
        <v>64</v>
      </c>
      <c r="D71" s="14">
        <v>163</v>
      </c>
      <c r="E71" s="14">
        <v>192</v>
      </c>
      <c r="F71" s="14">
        <v>175</v>
      </c>
      <c r="G71" s="15">
        <v>214</v>
      </c>
      <c r="H71" s="15">
        <v>218</v>
      </c>
      <c r="I71" s="15">
        <v>343</v>
      </c>
      <c r="J71" s="15">
        <v>311</v>
      </c>
      <c r="K71">
        <f>AVERAGE(Tabella2[[#This Row],[2009]:[2023]])</f>
        <v>230.85714285714286</v>
      </c>
      <c r="L71">
        <f>MAX(Tabella2[[#This Row],[2009]:[2023]])</f>
        <v>343</v>
      </c>
      <c r="M71">
        <f>MIN(Tabella2[[#This Row],[2009]:[2023]])</f>
        <v>163</v>
      </c>
    </row>
    <row r="72" spans="1:16" ht="25.5" x14ac:dyDescent="0.25">
      <c r="A72" t="s">
        <v>71</v>
      </c>
      <c r="C72" s="4" t="s">
        <v>65</v>
      </c>
      <c r="D72" s="12">
        <v>163</v>
      </c>
      <c r="E72" s="12">
        <v>192</v>
      </c>
      <c r="F72" s="12">
        <v>181</v>
      </c>
      <c r="G72" s="13">
        <v>212</v>
      </c>
      <c r="H72" s="13">
        <v>218</v>
      </c>
      <c r="I72" s="18">
        <v>348</v>
      </c>
      <c r="J72" s="13">
        <v>310</v>
      </c>
      <c r="K72">
        <f>AVERAGE(Tabella2[[#This Row],[2009]:[2023]])</f>
        <v>232</v>
      </c>
      <c r="L72">
        <f>MAX(Tabella2[[#This Row],[2009]:[2023]])</f>
        <v>348</v>
      </c>
      <c r="M72">
        <f>MIN(Tabella2[[#This Row],[2009]:[2023]])</f>
        <v>163</v>
      </c>
    </row>
    <row r="73" spans="1:16" ht="25.5" x14ac:dyDescent="0.25">
      <c r="A73" t="s">
        <v>71</v>
      </c>
      <c r="C73" s="5" t="s">
        <v>66</v>
      </c>
      <c r="D73" s="14">
        <v>163</v>
      </c>
      <c r="E73" s="14">
        <v>192</v>
      </c>
      <c r="F73" s="14">
        <v>184</v>
      </c>
      <c r="G73" s="15">
        <v>212</v>
      </c>
      <c r="H73" s="15">
        <v>220</v>
      </c>
      <c r="I73" s="16">
        <v>348</v>
      </c>
      <c r="J73" s="15">
        <v>310</v>
      </c>
      <c r="K73">
        <f>AVERAGE(Tabella2[[#This Row],[2009]:[2023]])</f>
        <v>232.71428571428572</v>
      </c>
      <c r="L73">
        <f>MAX(Tabella2[[#This Row],[2009]:[2023]])</f>
        <v>348</v>
      </c>
      <c r="M73">
        <f>MIN(Tabella2[[#This Row],[2009]:[2023]])</f>
        <v>163</v>
      </c>
    </row>
    <row r="74" spans="1:16" x14ac:dyDescent="0.25">
      <c r="A74" t="s">
        <v>72</v>
      </c>
      <c r="C74" s="4" t="s">
        <v>55</v>
      </c>
      <c r="D74" s="12">
        <v>142</v>
      </c>
      <c r="E74" s="12">
        <v>238</v>
      </c>
      <c r="F74" s="12">
        <v>225</v>
      </c>
      <c r="G74" s="13">
        <v>210</v>
      </c>
      <c r="H74" s="13">
        <v>232</v>
      </c>
      <c r="I74" s="13">
        <v>289</v>
      </c>
      <c r="J74" s="13">
        <v>375</v>
      </c>
      <c r="K74">
        <f>AVERAGE(Tabella2[[#This Row],[2009]:[2023]])</f>
        <v>244.42857142857142</v>
      </c>
      <c r="L74">
        <f>MAX(Tabella2[[#This Row],[2009]:[2023]])</f>
        <v>375</v>
      </c>
      <c r="M74">
        <f>MIN(Tabella2[[#This Row],[2009]:[2023]])</f>
        <v>142</v>
      </c>
      <c r="N74">
        <f>AVERAGE(D74:J85)</f>
        <v>244.6904761904762</v>
      </c>
      <c r="O74" s="1">
        <f t="shared" ref="O74" si="10">MAX(D74:J85)</f>
        <v>396</v>
      </c>
      <c r="P74" s="1">
        <f t="shared" ref="P74" si="11">MIN(D74:J85)</f>
        <v>123</v>
      </c>
    </row>
    <row r="75" spans="1:16" x14ac:dyDescent="0.25">
      <c r="A75" t="s">
        <v>72</v>
      </c>
      <c r="C75" s="5" t="s">
        <v>56</v>
      </c>
      <c r="D75" s="14">
        <v>143</v>
      </c>
      <c r="E75" s="14">
        <v>243</v>
      </c>
      <c r="F75" s="14">
        <v>227</v>
      </c>
      <c r="G75" s="15">
        <v>209</v>
      </c>
      <c r="H75" s="15">
        <v>236</v>
      </c>
      <c r="I75" s="15">
        <v>285</v>
      </c>
      <c r="J75" s="15">
        <v>365</v>
      </c>
      <c r="K75">
        <f>AVERAGE(Tabella2[[#This Row],[2009]:[2023]])</f>
        <v>244</v>
      </c>
      <c r="L75">
        <f>MAX(Tabella2[[#This Row],[2009]:[2023]])</f>
        <v>365</v>
      </c>
      <c r="M75">
        <f>MIN(Tabella2[[#This Row],[2009]:[2023]])</f>
        <v>143</v>
      </c>
    </row>
    <row r="76" spans="1:16" x14ac:dyDescent="0.25">
      <c r="A76" t="s">
        <v>72</v>
      </c>
      <c r="C76" s="4" t="s">
        <v>57</v>
      </c>
      <c r="D76" s="12">
        <v>138</v>
      </c>
      <c r="E76" s="12">
        <v>243</v>
      </c>
      <c r="F76" s="12">
        <v>223</v>
      </c>
      <c r="G76" s="13">
        <v>207</v>
      </c>
      <c r="H76" s="13">
        <v>233</v>
      </c>
      <c r="I76" s="13">
        <v>348</v>
      </c>
      <c r="J76" s="13">
        <v>357</v>
      </c>
      <c r="K76">
        <f>AVERAGE(Tabella2[[#This Row],[2009]:[2023]])</f>
        <v>249.85714285714286</v>
      </c>
      <c r="L76">
        <f>MAX(Tabella2[[#This Row],[2009]:[2023]])</f>
        <v>357</v>
      </c>
      <c r="M76">
        <f>MIN(Tabella2[[#This Row],[2009]:[2023]])</f>
        <v>138</v>
      </c>
    </row>
    <row r="77" spans="1:16" x14ac:dyDescent="0.25">
      <c r="A77" t="s">
        <v>72</v>
      </c>
      <c r="C77" s="5" t="s">
        <v>58</v>
      </c>
      <c r="D77" s="14">
        <v>140</v>
      </c>
      <c r="E77" s="14">
        <v>243</v>
      </c>
      <c r="F77" s="14">
        <v>224</v>
      </c>
      <c r="G77" s="15">
        <v>208</v>
      </c>
      <c r="H77" s="15">
        <v>237</v>
      </c>
      <c r="I77" s="15">
        <v>368</v>
      </c>
      <c r="J77" s="15">
        <v>352</v>
      </c>
      <c r="K77">
        <f>AVERAGE(Tabella2[[#This Row],[2009]:[2023]])</f>
        <v>253.14285714285714</v>
      </c>
      <c r="L77">
        <f>MAX(Tabella2[[#This Row],[2009]:[2023]])</f>
        <v>368</v>
      </c>
      <c r="M77">
        <f>MIN(Tabella2[[#This Row],[2009]:[2023]])</f>
        <v>140</v>
      </c>
    </row>
    <row r="78" spans="1:16" x14ac:dyDescent="0.25">
      <c r="A78" t="s">
        <v>72</v>
      </c>
      <c r="C78" s="4" t="s">
        <v>59</v>
      </c>
      <c r="D78" s="12">
        <v>140</v>
      </c>
      <c r="E78" s="12">
        <v>243</v>
      </c>
      <c r="F78" s="12">
        <v>227</v>
      </c>
      <c r="G78" s="13">
        <v>204</v>
      </c>
      <c r="H78" s="13">
        <v>253</v>
      </c>
      <c r="I78" s="13">
        <v>364</v>
      </c>
      <c r="J78" s="13">
        <v>344</v>
      </c>
      <c r="K78">
        <f>AVERAGE(Tabella2[[#This Row],[2009]:[2023]])</f>
        <v>253.57142857142858</v>
      </c>
      <c r="L78">
        <f>MAX(Tabella2[[#This Row],[2009]:[2023]])</f>
        <v>364</v>
      </c>
      <c r="M78">
        <f>MIN(Tabella2[[#This Row],[2009]:[2023]])</f>
        <v>140</v>
      </c>
    </row>
    <row r="79" spans="1:16" x14ac:dyDescent="0.25">
      <c r="A79" t="s">
        <v>72</v>
      </c>
      <c r="C79" s="5" t="s">
        <v>60</v>
      </c>
      <c r="D79" s="14">
        <v>140</v>
      </c>
      <c r="E79" s="14">
        <v>237</v>
      </c>
      <c r="F79" s="14">
        <v>225</v>
      </c>
      <c r="G79" s="15">
        <v>200</v>
      </c>
      <c r="H79" s="15">
        <v>256</v>
      </c>
      <c r="I79" s="15">
        <v>361</v>
      </c>
      <c r="J79" s="15">
        <v>341</v>
      </c>
      <c r="K79">
        <f>AVERAGE(Tabella2[[#This Row],[2009]:[2023]])</f>
        <v>251.42857142857142</v>
      </c>
      <c r="L79">
        <f>MAX(Tabella2[[#This Row],[2009]:[2023]])</f>
        <v>361</v>
      </c>
      <c r="M79">
        <f>MIN(Tabella2[[#This Row],[2009]:[2023]])</f>
        <v>140</v>
      </c>
    </row>
    <row r="80" spans="1:16" x14ac:dyDescent="0.25">
      <c r="A80" t="s">
        <v>72</v>
      </c>
      <c r="C80" s="4" t="s">
        <v>61</v>
      </c>
      <c r="D80" s="12">
        <v>138</v>
      </c>
      <c r="E80" s="12">
        <v>228</v>
      </c>
      <c r="F80" s="12">
        <v>224</v>
      </c>
      <c r="G80" s="13">
        <v>196</v>
      </c>
      <c r="H80" s="13">
        <v>245</v>
      </c>
      <c r="I80" s="13">
        <v>363</v>
      </c>
      <c r="J80" s="13">
        <v>331</v>
      </c>
      <c r="K80">
        <f>AVERAGE(Tabella2[[#This Row],[2009]:[2023]])</f>
        <v>246.42857142857142</v>
      </c>
      <c r="L80">
        <f>MAX(Tabella2[[#This Row],[2009]:[2023]])</f>
        <v>363</v>
      </c>
      <c r="M80">
        <f>MIN(Tabella2[[#This Row],[2009]:[2023]])</f>
        <v>138</v>
      </c>
    </row>
    <row r="81" spans="1:16" x14ac:dyDescent="0.25">
      <c r="A81" t="s">
        <v>72</v>
      </c>
      <c r="C81" s="5" t="s">
        <v>62</v>
      </c>
      <c r="D81" s="14">
        <v>130</v>
      </c>
      <c r="E81" s="14">
        <v>221</v>
      </c>
      <c r="F81" s="14">
        <v>218</v>
      </c>
      <c r="G81" s="15">
        <v>191</v>
      </c>
      <c r="H81" s="15">
        <v>240</v>
      </c>
      <c r="I81" s="15">
        <v>372</v>
      </c>
      <c r="J81" s="15">
        <v>315</v>
      </c>
      <c r="K81">
        <f>AVERAGE(Tabella2[[#This Row],[2009]:[2023]])</f>
        <v>241</v>
      </c>
      <c r="L81">
        <f>MAX(Tabella2[[#This Row],[2009]:[2023]])</f>
        <v>372</v>
      </c>
      <c r="M81">
        <f>MIN(Tabella2[[#This Row],[2009]:[2023]])</f>
        <v>130</v>
      </c>
    </row>
    <row r="82" spans="1:16" ht="25.5" x14ac:dyDescent="0.25">
      <c r="A82" t="s">
        <v>72</v>
      </c>
      <c r="C82" s="4" t="s">
        <v>63</v>
      </c>
      <c r="D82" s="12">
        <v>125</v>
      </c>
      <c r="E82" s="12">
        <v>207</v>
      </c>
      <c r="F82" s="12">
        <v>208</v>
      </c>
      <c r="G82" s="13">
        <v>196</v>
      </c>
      <c r="H82" s="13">
        <v>246</v>
      </c>
      <c r="I82" s="18">
        <v>396</v>
      </c>
      <c r="J82" s="13">
        <v>286</v>
      </c>
      <c r="K82">
        <f>AVERAGE(Tabella2[[#This Row],[2009]:[2023]])</f>
        <v>237.71428571428572</v>
      </c>
      <c r="L82">
        <f>MAX(Tabella2[[#This Row],[2009]:[2023]])</f>
        <v>396</v>
      </c>
      <c r="M82">
        <f>MIN(Tabella2[[#This Row],[2009]:[2023]])</f>
        <v>125</v>
      </c>
    </row>
    <row r="83" spans="1:16" x14ac:dyDescent="0.25">
      <c r="A83" t="s">
        <v>72</v>
      </c>
      <c r="C83" s="5" t="s">
        <v>64</v>
      </c>
      <c r="D83" s="19">
        <v>123</v>
      </c>
      <c r="E83" s="14">
        <v>195</v>
      </c>
      <c r="F83" s="14">
        <v>202</v>
      </c>
      <c r="G83" s="15">
        <v>204</v>
      </c>
      <c r="H83" s="15">
        <v>271</v>
      </c>
      <c r="I83" s="15">
        <v>391</v>
      </c>
      <c r="J83" s="15">
        <v>272</v>
      </c>
      <c r="K83">
        <f>AVERAGE(Tabella2[[#This Row],[2009]:[2023]])</f>
        <v>236.85714285714286</v>
      </c>
      <c r="L83">
        <f>MAX(Tabella2[[#This Row],[2009]:[2023]])</f>
        <v>391</v>
      </c>
      <c r="M83">
        <f>MIN(Tabella2[[#This Row],[2009]:[2023]])</f>
        <v>123</v>
      </c>
    </row>
    <row r="84" spans="1:16" ht="25.5" x14ac:dyDescent="0.25">
      <c r="A84" t="s">
        <v>72</v>
      </c>
      <c r="C84" s="4" t="s">
        <v>65</v>
      </c>
      <c r="D84" s="12">
        <v>124</v>
      </c>
      <c r="E84" s="12">
        <v>184</v>
      </c>
      <c r="F84" s="12">
        <v>201</v>
      </c>
      <c r="G84" s="13">
        <v>215</v>
      </c>
      <c r="H84" s="13">
        <v>281</v>
      </c>
      <c r="I84" s="13">
        <v>390</v>
      </c>
      <c r="J84" s="13">
        <v>267</v>
      </c>
      <c r="K84">
        <f>AVERAGE(Tabella2[[#This Row],[2009]:[2023]])</f>
        <v>237.42857142857142</v>
      </c>
      <c r="L84">
        <f>MAX(Tabella2[[#This Row],[2009]:[2023]])</f>
        <v>390</v>
      </c>
      <c r="M84">
        <f>MIN(Tabella2[[#This Row],[2009]:[2023]])</f>
        <v>124</v>
      </c>
    </row>
    <row r="85" spans="1:16" ht="25.5" x14ac:dyDescent="0.25">
      <c r="A85" t="s">
        <v>72</v>
      </c>
      <c r="C85" s="5" t="s">
        <v>66</v>
      </c>
      <c r="D85" s="14">
        <v>130</v>
      </c>
      <c r="E85" s="14">
        <v>182</v>
      </c>
      <c r="F85" s="14">
        <v>206</v>
      </c>
      <c r="G85" s="15">
        <v>227</v>
      </c>
      <c r="H85" s="15">
        <v>288</v>
      </c>
      <c r="I85" s="15">
        <v>380</v>
      </c>
      <c r="J85" s="15">
        <v>270</v>
      </c>
      <c r="K85">
        <f>AVERAGE(Tabella2[[#This Row],[2009]:[2023]])</f>
        <v>240.42857142857142</v>
      </c>
      <c r="L85">
        <f>MAX(Tabella2[[#This Row],[2009]:[2023]])</f>
        <v>380</v>
      </c>
      <c r="M85">
        <f>MIN(Tabella2[[#This Row],[2009]:[2023]])</f>
        <v>130</v>
      </c>
    </row>
    <row r="86" spans="1:16" x14ac:dyDescent="0.25">
      <c r="A86" t="s">
        <v>73</v>
      </c>
      <c r="C86" s="4" t="s">
        <v>55</v>
      </c>
      <c r="D86" s="14"/>
      <c r="E86" s="14"/>
      <c r="F86" s="14"/>
      <c r="G86" s="15"/>
      <c r="H86" s="15"/>
      <c r="I86" s="15"/>
      <c r="J86" s="14"/>
      <c r="K86" t="e">
        <f>AVERAGE(Tabella2[[#This Row],[2009]:[2023]])</f>
        <v>#DIV/0!</v>
      </c>
      <c r="L86">
        <f>MAX(Tabella2[[#This Row],[2009]:[2023]])</f>
        <v>0</v>
      </c>
      <c r="M86">
        <f>MIN(Tabella2[[#This Row],[2009]:[2023]])</f>
        <v>0</v>
      </c>
      <c r="N86">
        <f>AVERAGE(D86:J97)</f>
        <v>40.31333333333334</v>
      </c>
      <c r="O86" s="1">
        <f t="shared" ref="O86" si="12">MAX(D86:J97)</f>
        <v>65</v>
      </c>
      <c r="P86" s="1">
        <f t="shared" ref="P86" si="13">MIN(D86:J97)</f>
        <v>31.5</v>
      </c>
    </row>
    <row r="87" spans="1:16" x14ac:dyDescent="0.25">
      <c r="A87" t="s">
        <v>73</v>
      </c>
      <c r="C87" s="5" t="s">
        <v>56</v>
      </c>
      <c r="D87" s="12"/>
      <c r="E87" s="12"/>
      <c r="F87" s="12"/>
      <c r="G87" s="13"/>
      <c r="H87" s="13"/>
      <c r="I87" s="13"/>
      <c r="J87" s="12"/>
      <c r="K87" t="e">
        <f>AVERAGE(Tabella2[[#This Row],[2009]:[2023]])</f>
        <v>#DIV/0!</v>
      </c>
      <c r="L87">
        <f>MAX(Tabella2[[#This Row],[2009]:[2023]])</f>
        <v>0</v>
      </c>
      <c r="M87">
        <f>MIN(Tabella2[[#This Row],[2009]:[2023]])</f>
        <v>0</v>
      </c>
    </row>
    <row r="88" spans="1:16" x14ac:dyDescent="0.25">
      <c r="A88" t="s">
        <v>73</v>
      </c>
      <c r="C88" s="4" t="s">
        <v>57</v>
      </c>
      <c r="D88" s="14"/>
      <c r="E88" s="14"/>
      <c r="F88" s="14"/>
      <c r="G88" s="15"/>
      <c r="H88" s="15"/>
      <c r="I88" s="15"/>
      <c r="J88" s="14"/>
      <c r="K88" t="e">
        <f>AVERAGE(Tabella2[[#This Row],[2009]:[2023]])</f>
        <v>#DIV/0!</v>
      </c>
      <c r="L88">
        <f>MAX(Tabella2[[#This Row],[2009]:[2023]])</f>
        <v>0</v>
      </c>
      <c r="M88">
        <f>MIN(Tabella2[[#This Row],[2009]:[2023]])</f>
        <v>0</v>
      </c>
    </row>
    <row r="89" spans="1:16" x14ac:dyDescent="0.25">
      <c r="A89" t="s">
        <v>73</v>
      </c>
      <c r="C89" s="5" t="s">
        <v>58</v>
      </c>
      <c r="D89" s="14"/>
      <c r="E89" s="14"/>
      <c r="F89" s="14"/>
      <c r="G89" s="15"/>
      <c r="H89" s="15"/>
      <c r="I89" s="15"/>
      <c r="J89" s="14"/>
      <c r="K89" t="e">
        <f>AVERAGE(Tabella2[[#This Row],[2009]:[2023]])</f>
        <v>#DIV/0!</v>
      </c>
      <c r="L89">
        <f>MAX(Tabella2[[#This Row],[2009]:[2023]])</f>
        <v>0</v>
      </c>
      <c r="M89">
        <f>MIN(Tabella2[[#This Row],[2009]:[2023]])</f>
        <v>0</v>
      </c>
    </row>
    <row r="90" spans="1:16" x14ac:dyDescent="0.25">
      <c r="A90" t="s">
        <v>73</v>
      </c>
      <c r="C90" s="4" t="s">
        <v>59</v>
      </c>
      <c r="D90" s="12"/>
      <c r="E90" s="12"/>
      <c r="F90" s="12"/>
      <c r="G90" s="13"/>
      <c r="H90" s="13"/>
      <c r="I90" s="13"/>
      <c r="J90" s="12"/>
      <c r="K90" t="e">
        <f>AVERAGE(Tabella2[[#This Row],[2009]:[2023]])</f>
        <v>#DIV/0!</v>
      </c>
      <c r="L90">
        <f>MAX(Tabella2[[#This Row],[2009]:[2023]])</f>
        <v>0</v>
      </c>
      <c r="M90">
        <f>MIN(Tabella2[[#This Row],[2009]:[2023]])</f>
        <v>0</v>
      </c>
    </row>
    <row r="91" spans="1:16" x14ac:dyDescent="0.25">
      <c r="A91" t="s">
        <v>73</v>
      </c>
      <c r="C91" s="5" t="s">
        <v>60</v>
      </c>
      <c r="D91" s="14"/>
      <c r="E91" s="14"/>
      <c r="F91" s="14"/>
      <c r="G91" s="15"/>
      <c r="H91" s="15"/>
      <c r="I91" s="15">
        <v>35.5</v>
      </c>
      <c r="J91" s="14"/>
      <c r="K91">
        <f>AVERAGE(Tabella2[[#This Row],[2009]:[2023]])</f>
        <v>35.5</v>
      </c>
      <c r="L91">
        <f>MAX(Tabella2[[#This Row],[2009]:[2023]])</f>
        <v>35.5</v>
      </c>
      <c r="M91">
        <f>MIN(Tabella2[[#This Row],[2009]:[2023]])</f>
        <v>35.5</v>
      </c>
    </row>
    <row r="92" spans="1:16" x14ac:dyDescent="0.25">
      <c r="A92" t="s">
        <v>73</v>
      </c>
      <c r="C92" s="4" t="s">
        <v>61</v>
      </c>
      <c r="D92" s="14"/>
      <c r="E92" s="14"/>
      <c r="F92" s="14">
        <v>31.5</v>
      </c>
      <c r="G92" s="15"/>
      <c r="H92" s="15">
        <v>36</v>
      </c>
      <c r="I92" s="15">
        <v>42.7</v>
      </c>
      <c r="J92" s="14">
        <v>52.5</v>
      </c>
      <c r="K92">
        <f>AVERAGE(Tabella2[[#This Row],[2009]:[2023]])</f>
        <v>40.674999999999997</v>
      </c>
      <c r="L92">
        <f>MAX(Tabella2[[#This Row],[2009]:[2023]])</f>
        <v>52.5</v>
      </c>
      <c r="M92">
        <f>MIN(Tabella2[[#This Row],[2009]:[2023]])</f>
        <v>31.5</v>
      </c>
    </row>
    <row r="93" spans="1:16" x14ac:dyDescent="0.25">
      <c r="A93" t="s">
        <v>73</v>
      </c>
      <c r="C93" s="5" t="s">
        <v>62</v>
      </c>
      <c r="D93" s="12"/>
      <c r="E93" s="12"/>
      <c r="F93" s="12">
        <v>31.5</v>
      </c>
      <c r="G93" s="13">
        <v>33</v>
      </c>
      <c r="H93" s="13">
        <v>36</v>
      </c>
      <c r="I93" s="13">
        <v>45</v>
      </c>
      <c r="J93" s="12">
        <v>62.5</v>
      </c>
      <c r="K93">
        <f>AVERAGE(Tabella2[[#This Row],[2009]:[2023]])</f>
        <v>41.6</v>
      </c>
      <c r="L93">
        <f>MAX(Tabella2[[#This Row],[2009]:[2023]])</f>
        <v>62.5</v>
      </c>
      <c r="M93">
        <f>MIN(Tabella2[[#This Row],[2009]:[2023]])</f>
        <v>31.5</v>
      </c>
    </row>
    <row r="94" spans="1:16" ht="25.5" x14ac:dyDescent="0.25">
      <c r="A94" t="s">
        <v>73</v>
      </c>
      <c r="C94" s="4" t="s">
        <v>63</v>
      </c>
      <c r="D94" s="14"/>
      <c r="E94" s="14"/>
      <c r="F94" s="14">
        <v>31.5</v>
      </c>
      <c r="G94" s="15">
        <v>33</v>
      </c>
      <c r="H94" s="15">
        <v>36</v>
      </c>
      <c r="I94" s="15"/>
      <c r="J94" s="14">
        <v>65</v>
      </c>
      <c r="K94">
        <f>AVERAGE(Tabella2[[#This Row],[2009]:[2023]])</f>
        <v>41.375</v>
      </c>
      <c r="L94">
        <f>MAX(Tabella2[[#This Row],[2009]:[2023]])</f>
        <v>65</v>
      </c>
      <c r="M94">
        <f>MIN(Tabella2[[#This Row],[2009]:[2023]])</f>
        <v>31.5</v>
      </c>
    </row>
    <row r="95" spans="1:16" x14ac:dyDescent="0.25">
      <c r="A95" t="s">
        <v>73</v>
      </c>
      <c r="C95" s="5" t="s">
        <v>64</v>
      </c>
      <c r="D95" s="14"/>
      <c r="E95" s="14"/>
      <c r="F95" s="14"/>
      <c r="G95" s="15">
        <v>33</v>
      </c>
      <c r="H95" s="15"/>
      <c r="I95" s="15"/>
      <c r="J95" s="14"/>
      <c r="K95">
        <f>AVERAGE(Tabella2[[#This Row],[2009]:[2023]])</f>
        <v>33</v>
      </c>
      <c r="L95">
        <f>MAX(Tabella2[[#This Row],[2009]:[2023]])</f>
        <v>33</v>
      </c>
      <c r="M95">
        <f>MIN(Tabella2[[#This Row],[2009]:[2023]])</f>
        <v>33</v>
      </c>
    </row>
    <row r="96" spans="1:16" ht="25.5" x14ac:dyDescent="0.25">
      <c r="A96" t="s">
        <v>73</v>
      </c>
      <c r="C96" s="4" t="s">
        <v>65</v>
      </c>
      <c r="D96" s="12"/>
      <c r="E96" s="12"/>
      <c r="F96" s="12"/>
      <c r="G96" s="13"/>
      <c r="H96" s="13"/>
      <c r="I96" s="13"/>
      <c r="J96" s="12"/>
      <c r="K96" t="e">
        <f>AVERAGE(Tabella2[[#This Row],[2009]:[2023]])</f>
        <v>#DIV/0!</v>
      </c>
      <c r="L96">
        <f>MAX(Tabella2[[#This Row],[2009]:[2023]])</f>
        <v>0</v>
      </c>
      <c r="M96">
        <f>MIN(Tabella2[[#This Row],[2009]:[2023]])</f>
        <v>0</v>
      </c>
    </row>
    <row r="97" spans="1:13" ht="25.5" x14ac:dyDescent="0.25">
      <c r="A97" t="s">
        <v>73</v>
      </c>
      <c r="C97" s="5" t="s">
        <v>66</v>
      </c>
      <c r="D97" s="14"/>
      <c r="E97" s="14"/>
      <c r="F97" s="14"/>
      <c r="G97" s="15"/>
      <c r="H97" s="15"/>
      <c r="I97" s="15"/>
      <c r="J97" s="14"/>
      <c r="K97" t="e">
        <f>AVERAGE(Tabella2[[#This Row],[2009]:[2023]])</f>
        <v>#DIV/0!</v>
      </c>
      <c r="L97">
        <f>MAX(Tabella2[[#This Row],[2009]:[2023]])</f>
        <v>0</v>
      </c>
      <c r="M97">
        <f>MIN(Tabella2[[#This Row],[2009]:[2023]])</f>
        <v>0</v>
      </c>
    </row>
    <row r="99" spans="1:13" x14ac:dyDescent="0.25">
      <c r="A99" t="s">
        <v>99</v>
      </c>
      <c r="B99" t="s">
        <v>6</v>
      </c>
    </row>
    <row r="100" spans="1:13" x14ac:dyDescent="0.25">
      <c r="B100" t="s">
        <v>7</v>
      </c>
    </row>
    <row r="101" spans="1:13" x14ac:dyDescent="0.25">
      <c r="A101" t="s">
        <v>3</v>
      </c>
      <c r="B101">
        <v>4.5</v>
      </c>
    </row>
    <row r="102" spans="1:13" x14ac:dyDescent="0.25">
      <c r="A102" t="s">
        <v>4</v>
      </c>
      <c r="B102">
        <v>10</v>
      </c>
    </row>
    <row r="103" spans="1:13" x14ac:dyDescent="0.25">
      <c r="A103" t="s">
        <v>0</v>
      </c>
      <c r="B103">
        <v>90</v>
      </c>
    </row>
    <row r="104" spans="1:13" x14ac:dyDescent="0.25">
      <c r="A104" t="s">
        <v>5</v>
      </c>
      <c r="B104">
        <v>105</v>
      </c>
    </row>
    <row r="105" spans="1:13" x14ac:dyDescent="0.25">
      <c r="A105" t="s">
        <v>1</v>
      </c>
      <c r="B105">
        <v>50</v>
      </c>
    </row>
    <row r="106" spans="1:13" x14ac:dyDescent="0.25">
      <c r="A106" t="s">
        <v>2</v>
      </c>
      <c r="B106">
        <v>41</v>
      </c>
    </row>
    <row r="107" spans="1:13" x14ac:dyDescent="0.25">
      <c r="B107" t="s">
        <v>6</v>
      </c>
      <c r="C107" t="s">
        <v>106</v>
      </c>
    </row>
    <row r="108" spans="1:13" x14ac:dyDescent="0.25">
      <c r="A108" t="s">
        <v>100</v>
      </c>
      <c r="B108" t="s">
        <v>7</v>
      </c>
      <c r="C108" t="s">
        <v>107</v>
      </c>
    </row>
    <row r="109" spans="1:13" x14ac:dyDescent="0.25">
      <c r="A109" t="s">
        <v>101</v>
      </c>
      <c r="B109">
        <v>21.9</v>
      </c>
      <c r="C109">
        <v>345</v>
      </c>
    </row>
    <row r="110" spans="1:13" x14ac:dyDescent="0.25">
      <c r="A110" t="s">
        <v>102</v>
      </c>
      <c r="B110">
        <v>23.9</v>
      </c>
      <c r="C110">
        <v>322</v>
      </c>
    </row>
    <row r="111" spans="1:13" x14ac:dyDescent="0.25">
      <c r="A111" t="s">
        <v>103</v>
      </c>
      <c r="B111">
        <v>16.7</v>
      </c>
      <c r="C111">
        <v>306</v>
      </c>
    </row>
    <row r="112" spans="1:13" x14ac:dyDescent="0.25">
      <c r="A112" t="s">
        <v>104</v>
      </c>
      <c r="B112">
        <v>81.099999999999994</v>
      </c>
      <c r="C112">
        <v>855</v>
      </c>
    </row>
    <row r="113" spans="1:3" x14ac:dyDescent="0.25">
      <c r="A113" t="s">
        <v>164</v>
      </c>
      <c r="B113">
        <v>16.2</v>
      </c>
      <c r="C113">
        <v>210</v>
      </c>
    </row>
    <row r="114" spans="1:3" x14ac:dyDescent="0.25">
      <c r="A114" t="s">
        <v>105</v>
      </c>
      <c r="B114">
        <v>73.5</v>
      </c>
      <c r="C114">
        <v>870</v>
      </c>
    </row>
  </sheetData>
  <phoneticPr fontId="10" type="noConversion"/>
  <pageMargins left="0.7" right="0.7" top="0.75" bottom="0.75" header="0.3" footer="0.3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4E6A4-8ADE-40F0-BEC1-89B3FF9C4DDA}">
  <dimension ref="A1:BY18"/>
  <sheetViews>
    <sheetView topLeftCell="O1" workbookViewId="0">
      <selection activeCell="AF2" sqref="AF2"/>
    </sheetView>
  </sheetViews>
  <sheetFormatPr defaultRowHeight="15" x14ac:dyDescent="0.25"/>
  <cols>
    <col min="1" max="1" width="29.42578125" bestFit="1" customWidth="1"/>
    <col min="2" max="2" width="16.140625" customWidth="1"/>
    <col min="8" max="8" width="32.5703125" bestFit="1" customWidth="1"/>
    <col min="9" max="9" width="10.28515625" customWidth="1"/>
    <col min="15" max="16" width="20.7109375" customWidth="1"/>
    <col min="22" max="22" width="21.7109375" bestFit="1" customWidth="1"/>
    <col min="23" max="23" width="21.7109375" customWidth="1"/>
    <col min="29" max="29" width="25.7109375" bestFit="1" customWidth="1"/>
    <col min="34" max="34" width="14.28515625" customWidth="1"/>
    <col min="40" max="40" width="11.42578125" bestFit="1" customWidth="1"/>
  </cols>
  <sheetData>
    <row r="1" spans="1:77" ht="30" x14ac:dyDescent="0.25">
      <c r="A1" s="20" t="s">
        <v>108</v>
      </c>
      <c r="B1" s="20" t="s">
        <v>153</v>
      </c>
      <c r="C1" s="20" t="s">
        <v>109</v>
      </c>
      <c r="D1" s="20" t="s">
        <v>110</v>
      </c>
      <c r="E1" s="20" t="s">
        <v>111</v>
      </c>
      <c r="F1" s="37" t="s">
        <v>130</v>
      </c>
      <c r="H1" s="20" t="s">
        <v>108</v>
      </c>
      <c r="I1" s="20"/>
      <c r="J1" s="20" t="s">
        <v>109</v>
      </c>
      <c r="K1" s="20" t="s">
        <v>110</v>
      </c>
      <c r="L1" s="20" t="s">
        <v>111</v>
      </c>
      <c r="M1" s="37" t="s">
        <v>129</v>
      </c>
      <c r="O1" s="20" t="s">
        <v>108</v>
      </c>
      <c r="P1" s="20" t="s">
        <v>153</v>
      </c>
      <c r="Q1" s="20" t="s">
        <v>109</v>
      </c>
      <c r="R1" s="20" t="s">
        <v>110</v>
      </c>
      <c r="S1" s="20" t="s">
        <v>111</v>
      </c>
      <c r="T1" s="37" t="s">
        <v>129</v>
      </c>
      <c r="V1" s="20" t="s">
        <v>108</v>
      </c>
      <c r="W1" s="20"/>
      <c r="X1" s="20" t="s">
        <v>109</v>
      </c>
      <c r="Y1" s="20" t="s">
        <v>110</v>
      </c>
      <c r="Z1" s="20" t="s">
        <v>111</v>
      </c>
      <c r="AA1" s="37" t="s">
        <v>129</v>
      </c>
      <c r="AC1" s="20" t="s">
        <v>108</v>
      </c>
      <c r="AD1" s="20" t="s">
        <v>109</v>
      </c>
      <c r="AE1" s="20" t="s">
        <v>110</v>
      </c>
      <c r="AF1" s="20" t="s">
        <v>111</v>
      </c>
      <c r="AH1" s="20"/>
      <c r="AI1" s="20" t="s">
        <v>109</v>
      </c>
      <c r="AJ1" s="20" t="s">
        <v>110</v>
      </c>
      <c r="AK1" s="20" t="s">
        <v>111</v>
      </c>
      <c r="AL1" s="37" t="s">
        <v>129</v>
      </c>
      <c r="AN1" s="20"/>
      <c r="AO1" s="20" t="s">
        <v>109</v>
      </c>
      <c r="AP1" s="20" t="s">
        <v>110</v>
      </c>
      <c r="AQ1" s="20" t="s">
        <v>111</v>
      </c>
      <c r="AR1" s="37" t="s">
        <v>129</v>
      </c>
      <c r="AT1" s="20"/>
      <c r="AU1" s="20" t="s">
        <v>109</v>
      </c>
      <c r="AV1" s="20" t="s">
        <v>110</v>
      </c>
      <c r="AW1" s="20" t="s">
        <v>111</v>
      </c>
      <c r="AX1" s="37" t="s">
        <v>129</v>
      </c>
      <c r="AZ1" s="20"/>
      <c r="BA1" s="20" t="s">
        <v>109</v>
      </c>
      <c r="BB1" s="20" t="s">
        <v>110</v>
      </c>
      <c r="BC1" s="20" t="s">
        <v>111</v>
      </c>
      <c r="BD1" s="37" t="s">
        <v>129</v>
      </c>
      <c r="BF1" s="20"/>
      <c r="BG1" s="20" t="s">
        <v>109</v>
      </c>
      <c r="BH1" s="20" t="s">
        <v>110</v>
      </c>
      <c r="BI1" s="20" t="s">
        <v>111</v>
      </c>
      <c r="BJ1" s="37" t="s">
        <v>129</v>
      </c>
      <c r="BL1" s="20"/>
      <c r="BM1" s="20" t="s">
        <v>109</v>
      </c>
      <c r="BN1" s="20" t="s">
        <v>110</v>
      </c>
      <c r="BO1" s="20" t="s">
        <v>111</v>
      </c>
      <c r="BP1" s="37" t="s">
        <v>129</v>
      </c>
      <c r="BS1" s="20" t="s">
        <v>109</v>
      </c>
      <c r="BT1" s="20" t="s">
        <v>110</v>
      </c>
      <c r="BU1" s="20" t="s">
        <v>111</v>
      </c>
      <c r="BV1" s="37" t="s">
        <v>129</v>
      </c>
    </row>
    <row r="2" spans="1:77" x14ac:dyDescent="0.25">
      <c r="A2" t="s">
        <v>113</v>
      </c>
      <c r="B2" t="s">
        <v>154</v>
      </c>
      <c r="C2">
        <v>369.2</v>
      </c>
      <c r="D2">
        <v>366.2</v>
      </c>
      <c r="E2">
        <v>400</v>
      </c>
      <c r="H2" t="s">
        <v>131</v>
      </c>
      <c r="I2" t="s">
        <v>163</v>
      </c>
      <c r="J2">
        <v>872.9</v>
      </c>
      <c r="K2">
        <v>856.5</v>
      </c>
      <c r="L2">
        <v>405</v>
      </c>
      <c r="O2" t="s">
        <v>112</v>
      </c>
      <c r="P2" t="s">
        <v>156</v>
      </c>
      <c r="Q2" s="21">
        <v>253</v>
      </c>
      <c r="R2">
        <v>208.4</v>
      </c>
      <c r="S2">
        <v>300</v>
      </c>
      <c r="AC2" t="s">
        <v>117</v>
      </c>
      <c r="AD2">
        <v>251.3</v>
      </c>
      <c r="AE2">
        <v>239.3</v>
      </c>
      <c r="AF2">
        <v>73.3</v>
      </c>
      <c r="AH2" t="s">
        <v>151</v>
      </c>
      <c r="AI2">
        <v>571</v>
      </c>
      <c r="AJ2">
        <v>374</v>
      </c>
      <c r="AK2">
        <v>520</v>
      </c>
      <c r="AN2" t="s">
        <v>158</v>
      </c>
      <c r="AO2">
        <v>375</v>
      </c>
      <c r="AP2">
        <v>251.1</v>
      </c>
      <c r="AQ2">
        <v>375</v>
      </c>
      <c r="AT2" t="s">
        <v>157</v>
      </c>
      <c r="AU2">
        <v>13.11</v>
      </c>
      <c r="AV2">
        <v>5.62</v>
      </c>
      <c r="AW2">
        <v>320</v>
      </c>
    </row>
    <row r="3" spans="1:77" x14ac:dyDescent="0.25">
      <c r="A3" t="s">
        <v>114</v>
      </c>
      <c r="B3" t="s">
        <v>154</v>
      </c>
      <c r="C3">
        <v>315.7</v>
      </c>
      <c r="D3">
        <v>299.8</v>
      </c>
      <c r="E3">
        <v>325</v>
      </c>
      <c r="H3" t="s">
        <v>140</v>
      </c>
      <c r="I3" t="s">
        <v>159</v>
      </c>
      <c r="J3">
        <v>879</v>
      </c>
      <c r="K3">
        <v>823</v>
      </c>
      <c r="L3">
        <v>367.1</v>
      </c>
      <c r="O3" t="s">
        <v>112</v>
      </c>
      <c r="P3" t="s">
        <v>156</v>
      </c>
      <c r="Q3">
        <v>202.2</v>
      </c>
      <c r="R3">
        <v>187.7</v>
      </c>
      <c r="S3">
        <v>152</v>
      </c>
      <c r="V3" s="22" t="s">
        <v>147</v>
      </c>
      <c r="W3" s="22" t="s">
        <v>159</v>
      </c>
      <c r="X3" s="25">
        <v>0.87</v>
      </c>
      <c r="Y3" s="28">
        <v>0.98499999999999999</v>
      </c>
      <c r="Z3" s="31">
        <v>331.50000000000006</v>
      </c>
      <c r="AA3" s="34">
        <v>22.271999999999998</v>
      </c>
      <c r="AC3" t="s">
        <v>150</v>
      </c>
      <c r="AD3">
        <v>131.80000000000001</v>
      </c>
      <c r="AE3">
        <v>112.4</v>
      </c>
      <c r="AF3">
        <v>387.3</v>
      </c>
      <c r="AH3" t="s">
        <v>151</v>
      </c>
      <c r="AI3">
        <v>414.1</v>
      </c>
      <c r="AK3">
        <v>137</v>
      </c>
      <c r="AN3" t="s">
        <v>158</v>
      </c>
      <c r="AO3" s="25">
        <v>0.35</v>
      </c>
      <c r="AP3" s="28">
        <v>0.75</v>
      </c>
      <c r="AQ3" s="31">
        <v>324.00000000000006</v>
      </c>
      <c r="AR3" s="34">
        <v>17.5</v>
      </c>
      <c r="AT3" t="s">
        <v>157</v>
      </c>
      <c r="AU3" s="25">
        <v>0.08</v>
      </c>
      <c r="AV3" s="28">
        <v>0.9</v>
      </c>
      <c r="AW3" s="31">
        <v>243.6</v>
      </c>
      <c r="AX3" s="34">
        <v>3.2</v>
      </c>
      <c r="AZ3" s="22" t="s">
        <v>75</v>
      </c>
      <c r="BA3" s="25">
        <v>3.5000000000000003E-2</v>
      </c>
      <c r="BB3" s="28">
        <v>0.8</v>
      </c>
      <c r="BC3" s="31">
        <v>252.3</v>
      </c>
      <c r="BF3" s="22" t="s">
        <v>74</v>
      </c>
      <c r="BG3" s="25">
        <v>0.22</v>
      </c>
      <c r="BH3" s="28">
        <v>0.78</v>
      </c>
      <c r="BI3" s="31">
        <v>209.00000000000003</v>
      </c>
      <c r="BJ3" s="34">
        <v>4.3999999999999995</v>
      </c>
      <c r="BL3" s="22" t="s">
        <v>152</v>
      </c>
      <c r="BM3" s="25">
        <v>0.28000000000000003</v>
      </c>
      <c r="BN3" s="28">
        <v>0.95</v>
      </c>
      <c r="BO3" s="31">
        <v>265</v>
      </c>
      <c r="BP3" s="34">
        <v>3.3600000000000003</v>
      </c>
      <c r="BR3" s="22" t="s">
        <v>193</v>
      </c>
      <c r="BS3" s="25">
        <v>0.32</v>
      </c>
      <c r="BT3" s="28">
        <v>0.94</v>
      </c>
      <c r="BU3" s="45">
        <v>316.2</v>
      </c>
      <c r="BV3" s="44">
        <v>0.14000000000000001</v>
      </c>
      <c r="BW3">
        <f t="shared" ref="BW3:BW5" si="0">BS3*1000</f>
        <v>320</v>
      </c>
      <c r="BX3" s="42">
        <f>BW3*BT3</f>
        <v>300.79999999999995</v>
      </c>
      <c r="BY3" s="42">
        <v>316.2</v>
      </c>
    </row>
    <row r="4" spans="1:77" x14ac:dyDescent="0.25">
      <c r="A4" t="s">
        <v>115</v>
      </c>
      <c r="B4" t="s">
        <v>154</v>
      </c>
      <c r="C4">
        <v>306.60000000000002</v>
      </c>
      <c r="D4">
        <v>289.3</v>
      </c>
      <c r="E4">
        <v>310</v>
      </c>
      <c r="H4" t="s">
        <v>141</v>
      </c>
      <c r="I4" t="s">
        <v>159</v>
      </c>
      <c r="J4">
        <v>886</v>
      </c>
      <c r="K4">
        <v>831</v>
      </c>
      <c r="L4">
        <v>338</v>
      </c>
      <c r="O4" t="s">
        <v>116</v>
      </c>
      <c r="P4" t="s">
        <v>156</v>
      </c>
      <c r="Q4">
        <v>182.9</v>
      </c>
      <c r="R4">
        <v>169.3</v>
      </c>
      <c r="S4">
        <v>191</v>
      </c>
      <c r="V4" s="22" t="s">
        <v>147</v>
      </c>
      <c r="W4" s="22" t="s">
        <v>159</v>
      </c>
      <c r="X4" s="25">
        <v>0.89</v>
      </c>
      <c r="Y4" s="28">
        <v>0.86499999999999999</v>
      </c>
      <c r="Z4" s="31">
        <v>304.2</v>
      </c>
      <c r="AA4" s="34"/>
      <c r="AC4" s="39"/>
      <c r="AH4" t="s">
        <v>151</v>
      </c>
      <c r="AI4">
        <v>720.5</v>
      </c>
      <c r="AK4">
        <v>253.8</v>
      </c>
      <c r="AN4" t="s">
        <v>158</v>
      </c>
      <c r="AO4" s="25">
        <v>0.6</v>
      </c>
      <c r="AP4" s="28">
        <v>0.75</v>
      </c>
      <c r="AQ4" s="31">
        <v>244.44444444444446</v>
      </c>
      <c r="AR4" s="34">
        <v>36</v>
      </c>
      <c r="AT4" t="s">
        <v>157</v>
      </c>
      <c r="AU4" s="25">
        <v>0.08</v>
      </c>
      <c r="AV4" s="28">
        <v>0.8</v>
      </c>
      <c r="AW4" s="31">
        <v>181.5</v>
      </c>
      <c r="AZ4" s="22" t="s">
        <v>75</v>
      </c>
      <c r="BA4" s="25">
        <v>0.04</v>
      </c>
      <c r="BB4" s="28">
        <v>0.9</v>
      </c>
      <c r="BC4" s="31">
        <v>252</v>
      </c>
      <c r="BD4" s="34">
        <v>3.2</v>
      </c>
      <c r="BF4" s="22" t="s">
        <v>74</v>
      </c>
      <c r="BG4" s="25">
        <v>0.25</v>
      </c>
      <c r="BH4" s="28">
        <v>0.8</v>
      </c>
      <c r="BI4" s="31">
        <v>165</v>
      </c>
      <c r="BL4" s="22" t="s">
        <v>152</v>
      </c>
      <c r="BM4" s="25">
        <v>0.32</v>
      </c>
      <c r="BN4" s="28">
        <v>0.94</v>
      </c>
      <c r="BO4" s="31">
        <v>300</v>
      </c>
      <c r="BP4" s="34">
        <v>4.4800000000000004</v>
      </c>
      <c r="BR4" s="22" t="s">
        <v>193</v>
      </c>
      <c r="BS4" s="25">
        <v>0.28000000000000003</v>
      </c>
      <c r="BT4" s="28">
        <v>0.95</v>
      </c>
      <c r="BU4" s="45">
        <v>286.2</v>
      </c>
      <c r="BV4" s="44"/>
      <c r="BW4">
        <f t="shared" si="0"/>
        <v>280</v>
      </c>
      <c r="BX4" s="42">
        <f t="shared" ref="BX4:BX5" si="1">BW4*BT4</f>
        <v>266</v>
      </c>
      <c r="BY4" s="42">
        <v>286.2</v>
      </c>
    </row>
    <row r="5" spans="1:77" x14ac:dyDescent="0.25">
      <c r="A5" t="s">
        <v>115</v>
      </c>
      <c r="B5" t="s">
        <v>154</v>
      </c>
      <c r="C5">
        <v>306.60000000000002</v>
      </c>
      <c r="D5">
        <v>289.3</v>
      </c>
      <c r="E5">
        <v>310</v>
      </c>
      <c r="H5" s="22"/>
      <c r="I5" s="22"/>
      <c r="J5" s="25"/>
      <c r="K5" s="28"/>
      <c r="L5" s="31"/>
      <c r="M5" s="34"/>
      <c r="O5" s="22" t="s">
        <v>142</v>
      </c>
      <c r="P5" t="s">
        <v>156</v>
      </c>
      <c r="Q5" s="25">
        <v>0.25</v>
      </c>
      <c r="R5" s="28">
        <v>0.94</v>
      </c>
      <c r="S5" s="31">
        <v>286</v>
      </c>
      <c r="T5" s="34"/>
      <c r="V5" s="22" t="s">
        <v>132</v>
      </c>
      <c r="W5" s="22" t="s">
        <v>159</v>
      </c>
      <c r="X5" s="25">
        <v>0.88200000000000001</v>
      </c>
      <c r="Y5" s="28">
        <v>0.95700000000000007</v>
      </c>
      <c r="Z5" s="31">
        <v>344.505</v>
      </c>
      <c r="AA5" s="34"/>
      <c r="AH5" t="s">
        <v>151</v>
      </c>
      <c r="AI5">
        <v>695</v>
      </c>
      <c r="AK5">
        <v>218</v>
      </c>
      <c r="AN5" t="s">
        <v>158</v>
      </c>
      <c r="AO5" s="25">
        <v>0.28000000000000003</v>
      </c>
      <c r="AP5" s="28">
        <v>0.75</v>
      </c>
      <c r="AQ5" s="31">
        <v>340.75</v>
      </c>
      <c r="AR5" s="34"/>
      <c r="AT5" t="s">
        <v>157</v>
      </c>
      <c r="AU5">
        <v>58.6</v>
      </c>
      <c r="AV5">
        <v>49.7</v>
      </c>
      <c r="AW5">
        <v>190</v>
      </c>
      <c r="AZ5" s="22" t="s">
        <v>75</v>
      </c>
      <c r="BA5" s="25">
        <v>4.4999999999999998E-2</v>
      </c>
      <c r="BB5" s="28">
        <v>0.8</v>
      </c>
      <c r="BC5" s="31">
        <v>252.3</v>
      </c>
      <c r="BF5" s="22" t="s">
        <v>74</v>
      </c>
      <c r="BG5" s="25">
        <v>0.25</v>
      </c>
      <c r="BH5" s="28">
        <v>0.8</v>
      </c>
      <c r="BI5" s="31">
        <v>165</v>
      </c>
      <c r="BL5" s="22" t="s">
        <v>152</v>
      </c>
      <c r="BM5" s="25">
        <v>0.3</v>
      </c>
      <c r="BN5" s="28">
        <v>0.95</v>
      </c>
      <c r="BO5">
        <v>351</v>
      </c>
      <c r="BR5" s="22" t="s">
        <v>194</v>
      </c>
      <c r="BS5" s="25">
        <v>0.24</v>
      </c>
      <c r="BT5" s="28">
        <v>0.91799999999999993</v>
      </c>
      <c r="BU5" s="45">
        <v>323.98899999999998</v>
      </c>
      <c r="BV5" s="44"/>
      <c r="BW5">
        <f t="shared" si="0"/>
        <v>240</v>
      </c>
      <c r="BX5" s="42">
        <f t="shared" si="1"/>
        <v>220.32</v>
      </c>
      <c r="BY5" s="42">
        <v>323.98899999999998</v>
      </c>
    </row>
    <row r="6" spans="1:77" x14ac:dyDescent="0.25">
      <c r="A6" t="s">
        <v>114</v>
      </c>
      <c r="B6" t="s">
        <v>154</v>
      </c>
      <c r="C6">
        <v>334.6</v>
      </c>
      <c r="D6">
        <v>321</v>
      </c>
      <c r="E6">
        <v>370</v>
      </c>
      <c r="H6" s="22"/>
      <c r="I6" s="22"/>
      <c r="J6" s="25"/>
      <c r="K6" s="28"/>
      <c r="L6" s="31"/>
      <c r="M6" s="34"/>
      <c r="O6" s="22" t="s">
        <v>143</v>
      </c>
      <c r="P6" t="s">
        <v>156</v>
      </c>
      <c r="Q6" s="25">
        <v>0.32</v>
      </c>
      <c r="R6" s="28">
        <v>0.94</v>
      </c>
      <c r="S6" s="31">
        <v>306</v>
      </c>
      <c r="T6" s="34">
        <v>4.5759999999999996</v>
      </c>
      <c r="V6" s="22" t="s">
        <v>133</v>
      </c>
      <c r="W6" s="22" t="s">
        <v>159</v>
      </c>
      <c r="X6" s="25">
        <v>0.9</v>
      </c>
      <c r="Y6" s="28">
        <v>0.97</v>
      </c>
      <c r="Z6" s="31">
        <v>306</v>
      </c>
      <c r="AA6" s="34"/>
      <c r="AH6" t="s">
        <v>151</v>
      </c>
      <c r="AI6" s="25">
        <v>0.77</v>
      </c>
      <c r="AJ6" s="28">
        <v>0.89700000000000002</v>
      </c>
      <c r="AK6" s="31">
        <v>370.20240000000001</v>
      </c>
      <c r="AL6" s="34"/>
      <c r="AN6" t="s">
        <v>158</v>
      </c>
      <c r="AO6" s="25">
        <v>0.5</v>
      </c>
      <c r="AP6" s="28">
        <v>0.75</v>
      </c>
      <c r="AQ6" s="31">
        <v>324.00000000000006</v>
      </c>
      <c r="AR6" s="34">
        <v>25</v>
      </c>
      <c r="AT6" t="s">
        <v>157</v>
      </c>
      <c r="AU6">
        <v>34.700000000000003</v>
      </c>
      <c r="AV6">
        <v>26.4</v>
      </c>
      <c r="AW6">
        <v>190</v>
      </c>
      <c r="AZ6" s="22" t="s">
        <v>75</v>
      </c>
      <c r="BA6">
        <v>68.2</v>
      </c>
      <c r="BB6">
        <v>48.9</v>
      </c>
      <c r="BC6">
        <v>130</v>
      </c>
      <c r="BF6" s="22" t="s">
        <v>74</v>
      </c>
      <c r="BG6" s="25">
        <v>0.25</v>
      </c>
      <c r="BH6" s="28">
        <v>0.8</v>
      </c>
      <c r="BI6" s="31">
        <v>189.75</v>
      </c>
      <c r="BL6" s="22" t="s">
        <v>152</v>
      </c>
      <c r="BM6" s="25">
        <v>0.3</v>
      </c>
      <c r="BN6" s="28">
        <v>0.94</v>
      </c>
      <c r="BO6">
        <v>238</v>
      </c>
    </row>
    <row r="7" spans="1:77" x14ac:dyDescent="0.25">
      <c r="A7" t="s">
        <v>115</v>
      </c>
      <c r="B7" t="s">
        <v>154</v>
      </c>
      <c r="C7">
        <v>371.6</v>
      </c>
      <c r="D7">
        <v>319.2</v>
      </c>
      <c r="E7">
        <v>350</v>
      </c>
      <c r="H7" s="22" t="s">
        <v>119</v>
      </c>
      <c r="I7" s="22" t="s">
        <v>163</v>
      </c>
      <c r="J7" s="25">
        <v>0.95</v>
      </c>
      <c r="K7" s="28">
        <v>0.97</v>
      </c>
      <c r="L7" s="31">
        <v>375</v>
      </c>
      <c r="M7" s="34"/>
      <c r="O7" s="22" t="s">
        <v>144</v>
      </c>
      <c r="P7" t="s">
        <v>156</v>
      </c>
      <c r="Q7" s="25">
        <v>0.28000000000000003</v>
      </c>
      <c r="R7" s="28">
        <v>0.94</v>
      </c>
      <c r="S7" s="31">
        <v>310</v>
      </c>
      <c r="T7" s="34">
        <v>4.0040000000000004</v>
      </c>
      <c r="V7" s="22" t="s">
        <v>148</v>
      </c>
      <c r="W7" s="22" t="s">
        <v>160</v>
      </c>
      <c r="X7" s="25">
        <v>0.86</v>
      </c>
      <c r="Y7" s="28">
        <v>0.91900000000000004</v>
      </c>
      <c r="Z7" s="31">
        <v>187.55359999999999</v>
      </c>
      <c r="AA7" s="34"/>
      <c r="AH7" t="s">
        <v>151</v>
      </c>
      <c r="AI7" s="25">
        <v>0.75</v>
      </c>
      <c r="AJ7" s="28">
        <v>0.98499999999999999</v>
      </c>
      <c r="AK7" s="31">
        <v>344.5</v>
      </c>
      <c r="AL7" s="34">
        <v>6.6</v>
      </c>
      <c r="AM7" s="38"/>
      <c r="AN7" t="s">
        <v>158</v>
      </c>
      <c r="AO7">
        <v>681</v>
      </c>
      <c r="AP7">
        <v>483</v>
      </c>
      <c r="AQ7">
        <v>185.7</v>
      </c>
      <c r="AT7" t="s">
        <v>157</v>
      </c>
      <c r="AU7">
        <v>145.30000000000001</v>
      </c>
      <c r="AV7">
        <v>124.1</v>
      </c>
      <c r="AW7">
        <v>245</v>
      </c>
      <c r="AZ7" s="22" t="s">
        <v>75</v>
      </c>
      <c r="BA7">
        <v>68.2</v>
      </c>
      <c r="BB7">
        <v>48.9</v>
      </c>
      <c r="BC7">
        <v>125</v>
      </c>
    </row>
    <row r="8" spans="1:77" x14ac:dyDescent="0.25">
      <c r="A8" t="s">
        <v>1</v>
      </c>
      <c r="B8" t="s">
        <v>154</v>
      </c>
      <c r="C8">
        <v>332.2</v>
      </c>
      <c r="D8">
        <v>319.7</v>
      </c>
      <c r="E8">
        <v>330</v>
      </c>
      <c r="H8" s="22" t="s">
        <v>120</v>
      </c>
      <c r="I8" s="22" t="s">
        <v>163</v>
      </c>
      <c r="J8" s="25">
        <v>0.5</v>
      </c>
      <c r="K8" s="28">
        <v>0.98</v>
      </c>
      <c r="L8" s="31">
        <v>392.2</v>
      </c>
      <c r="M8" s="34">
        <v>13.6</v>
      </c>
      <c r="O8" s="22" t="s">
        <v>145</v>
      </c>
      <c r="P8" t="s">
        <v>156</v>
      </c>
      <c r="Q8" s="25">
        <v>0.28000000000000003</v>
      </c>
      <c r="R8" s="28">
        <v>0.94</v>
      </c>
      <c r="S8" s="31">
        <v>325.5</v>
      </c>
      <c r="T8" s="34">
        <v>4.0040000000000004</v>
      </c>
      <c r="V8" s="22" t="s">
        <v>149</v>
      </c>
      <c r="W8" s="22" t="s">
        <v>160</v>
      </c>
      <c r="X8" s="25">
        <v>0.28000000000000003</v>
      </c>
      <c r="Y8" s="28">
        <v>0.93599999999999994</v>
      </c>
      <c r="Z8" s="31">
        <v>277.72000000000003</v>
      </c>
      <c r="AA8" s="34"/>
      <c r="AM8" s="38"/>
      <c r="AN8" t="s">
        <v>158</v>
      </c>
      <c r="AO8">
        <v>310.5</v>
      </c>
      <c r="AP8">
        <v>243.6</v>
      </c>
      <c r="AQ8">
        <v>299.10000000000002</v>
      </c>
      <c r="AT8" t="s">
        <v>157</v>
      </c>
      <c r="AU8">
        <v>82.3</v>
      </c>
      <c r="AV8">
        <v>69.900000000000006</v>
      </c>
      <c r="AW8">
        <v>240</v>
      </c>
    </row>
    <row r="9" spans="1:77" x14ac:dyDescent="0.25">
      <c r="A9" t="s">
        <v>118</v>
      </c>
      <c r="B9" t="s">
        <v>155</v>
      </c>
      <c r="C9">
        <v>596.20000000000005</v>
      </c>
      <c r="D9">
        <v>477.2</v>
      </c>
      <c r="E9">
        <v>220</v>
      </c>
      <c r="H9" s="22" t="s">
        <v>134</v>
      </c>
      <c r="I9" s="22" t="s">
        <v>162</v>
      </c>
      <c r="J9" s="25">
        <v>0.92</v>
      </c>
      <c r="K9" s="28">
        <v>0.93</v>
      </c>
      <c r="L9" s="31">
        <v>331.5</v>
      </c>
      <c r="M9" s="34"/>
      <c r="O9" s="22" t="s">
        <v>146</v>
      </c>
      <c r="P9" t="s">
        <v>156</v>
      </c>
      <c r="Q9" s="25">
        <v>0.3</v>
      </c>
      <c r="R9" s="28">
        <v>0.94</v>
      </c>
      <c r="S9" s="31">
        <v>372.96000000000004</v>
      </c>
      <c r="T9" s="34"/>
      <c r="AN9" t="s">
        <v>158</v>
      </c>
      <c r="AO9">
        <v>567.9</v>
      </c>
      <c r="AP9">
        <v>408.4</v>
      </c>
      <c r="AQ9">
        <v>261.89999999999998</v>
      </c>
      <c r="AT9" t="s">
        <v>157</v>
      </c>
      <c r="AU9">
        <v>68.400000000000006</v>
      </c>
      <c r="AV9">
        <v>56.9</v>
      </c>
      <c r="AW9">
        <v>245</v>
      </c>
    </row>
    <row r="10" spans="1:77" x14ac:dyDescent="0.25">
      <c r="A10" t="s">
        <v>139</v>
      </c>
      <c r="B10" t="s">
        <v>154</v>
      </c>
      <c r="C10">
        <v>331.3</v>
      </c>
      <c r="D10">
        <v>320.3</v>
      </c>
      <c r="E10">
        <v>367</v>
      </c>
      <c r="H10" s="22" t="s">
        <v>135</v>
      </c>
      <c r="I10" s="22" t="s">
        <v>161</v>
      </c>
      <c r="J10" s="25">
        <v>0.89200000000000002</v>
      </c>
      <c r="K10" s="28">
        <v>0.91200000000000003</v>
      </c>
      <c r="L10" s="31">
        <v>359.95799999999997</v>
      </c>
      <c r="M10" s="34"/>
      <c r="AT10" t="s">
        <v>157</v>
      </c>
      <c r="AU10">
        <v>93.6</v>
      </c>
      <c r="AV10">
        <v>78.5</v>
      </c>
      <c r="AW10">
        <v>230</v>
      </c>
    </row>
    <row r="11" spans="1:77" x14ac:dyDescent="0.25">
      <c r="A11" s="22" t="s">
        <v>121</v>
      </c>
      <c r="B11" t="s">
        <v>16</v>
      </c>
      <c r="C11" s="25">
        <v>0.87</v>
      </c>
      <c r="D11" s="28">
        <v>0.98499999999999999</v>
      </c>
      <c r="E11" s="31">
        <v>392.20000000000005</v>
      </c>
      <c r="F11" s="34">
        <v>13.485000000000001</v>
      </c>
      <c r="H11" s="22" t="s">
        <v>136</v>
      </c>
      <c r="I11" s="22" t="s">
        <v>161</v>
      </c>
      <c r="J11" s="25">
        <v>0.90300000000000002</v>
      </c>
      <c r="K11" s="28">
        <v>0.88500000000000001</v>
      </c>
      <c r="L11" s="31">
        <v>275.39999999999998</v>
      </c>
      <c r="M11" s="34"/>
      <c r="AD11" s="40"/>
      <c r="AT11" t="s">
        <v>157</v>
      </c>
      <c r="AU11">
        <v>62.4</v>
      </c>
      <c r="AV11">
        <v>51.3</v>
      </c>
      <c r="AW11">
        <v>228.5</v>
      </c>
    </row>
    <row r="12" spans="1:77" x14ac:dyDescent="0.25">
      <c r="A12" s="22" t="s">
        <v>122</v>
      </c>
      <c r="B12" t="s">
        <v>154</v>
      </c>
      <c r="C12" s="25">
        <v>0.6</v>
      </c>
      <c r="D12" s="28">
        <v>0.9</v>
      </c>
      <c r="E12" s="31">
        <v>425</v>
      </c>
      <c r="F12" s="34"/>
      <c r="H12" s="22" t="s">
        <v>137</v>
      </c>
      <c r="I12" s="22" t="s">
        <v>161</v>
      </c>
      <c r="J12" s="25">
        <v>0.9</v>
      </c>
      <c r="K12" s="28">
        <v>0.98</v>
      </c>
      <c r="L12" s="31">
        <v>399.6</v>
      </c>
      <c r="M12" s="34">
        <v>19.8</v>
      </c>
    </row>
    <row r="13" spans="1:77" x14ac:dyDescent="0.25">
      <c r="A13" s="22" t="s">
        <v>123</v>
      </c>
      <c r="B13" t="s">
        <v>154</v>
      </c>
      <c r="C13" s="25">
        <v>0.7</v>
      </c>
      <c r="D13" s="28">
        <v>0.95499999999999996</v>
      </c>
      <c r="E13" s="31">
        <v>371</v>
      </c>
      <c r="F13" s="34">
        <v>10.01</v>
      </c>
      <c r="H13" s="22" t="s">
        <v>138</v>
      </c>
      <c r="I13" s="22" t="s">
        <v>25</v>
      </c>
      <c r="J13" s="25">
        <v>0.88</v>
      </c>
      <c r="K13" s="28">
        <v>0.96400000000000008</v>
      </c>
      <c r="L13" s="31">
        <v>341.7</v>
      </c>
      <c r="M13" s="34"/>
    </row>
    <row r="14" spans="1:77" x14ac:dyDescent="0.25">
      <c r="A14" s="22" t="s">
        <v>124</v>
      </c>
      <c r="B14" t="s">
        <v>155</v>
      </c>
      <c r="C14" s="25">
        <v>0.75</v>
      </c>
      <c r="D14" s="28">
        <v>0.97</v>
      </c>
      <c r="E14" s="31">
        <v>306</v>
      </c>
      <c r="F14" s="34">
        <v>8.25</v>
      </c>
    </row>
    <row r="15" spans="1:77" x14ac:dyDescent="0.25">
      <c r="A15" s="22" t="s">
        <v>125</v>
      </c>
      <c r="B15" t="s">
        <v>155</v>
      </c>
      <c r="C15" s="25">
        <v>0.55000000000000004</v>
      </c>
      <c r="D15" s="28">
        <v>0.97</v>
      </c>
      <c r="E15" s="31">
        <v>305.99999999999994</v>
      </c>
      <c r="F15" s="34">
        <v>6.05</v>
      </c>
    </row>
    <row r="16" spans="1:77" x14ac:dyDescent="0.25">
      <c r="A16" s="23" t="s">
        <v>126</v>
      </c>
      <c r="B16" t="s">
        <v>154</v>
      </c>
      <c r="C16" s="26">
        <v>0.35</v>
      </c>
      <c r="D16" s="29">
        <v>0.95799999999999996</v>
      </c>
      <c r="E16" s="32">
        <v>349.74</v>
      </c>
      <c r="F16" s="35"/>
    </row>
    <row r="17" spans="1:6" x14ac:dyDescent="0.25">
      <c r="A17" s="24" t="s">
        <v>127</v>
      </c>
      <c r="B17" t="s">
        <v>154</v>
      </c>
      <c r="C17" s="27">
        <v>0.34</v>
      </c>
      <c r="D17" s="30">
        <v>0.94</v>
      </c>
      <c r="E17" s="33">
        <v>374.40000000000003</v>
      </c>
      <c r="F17" s="36">
        <v>3.74</v>
      </c>
    </row>
    <row r="18" spans="1:6" x14ac:dyDescent="0.25">
      <c r="A18" s="22" t="s">
        <v>128</v>
      </c>
      <c r="B18" t="s">
        <v>154</v>
      </c>
      <c r="C18" s="25">
        <v>0.22</v>
      </c>
      <c r="D18" s="28">
        <v>0.94599999999999995</v>
      </c>
      <c r="E18" s="31">
        <v>295.06440000000003</v>
      </c>
      <c r="F18" s="3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1B077-036F-4506-9FD6-63B13735A209}">
  <dimension ref="A1:D52"/>
  <sheetViews>
    <sheetView workbookViewId="0">
      <selection activeCell="E3" sqref="E3:E52"/>
    </sheetView>
  </sheetViews>
  <sheetFormatPr defaultRowHeight="15" x14ac:dyDescent="0.25"/>
  <cols>
    <col min="2" max="2" width="10.42578125" bestFit="1" customWidth="1"/>
    <col min="3" max="3" width="13.42578125" bestFit="1" customWidth="1"/>
    <col min="4" max="4" width="19.7109375" bestFit="1" customWidth="1"/>
  </cols>
  <sheetData>
    <row r="1" spans="1:4" x14ac:dyDescent="0.25">
      <c r="A1" t="s">
        <v>8</v>
      </c>
      <c r="B1" t="s">
        <v>9</v>
      </c>
      <c r="C1" t="s">
        <v>10</v>
      </c>
      <c r="D1" t="s">
        <v>11</v>
      </c>
    </row>
    <row r="2" spans="1:4" x14ac:dyDescent="0.25">
      <c r="A2" t="s">
        <v>12</v>
      </c>
      <c r="B2" t="s">
        <v>14</v>
      </c>
      <c r="C2" t="s">
        <v>14</v>
      </c>
      <c r="D2" s="2" t="s">
        <v>13</v>
      </c>
    </row>
    <row r="3" spans="1:4" x14ac:dyDescent="0.25">
      <c r="A3">
        <v>1</v>
      </c>
      <c r="B3">
        <v>60</v>
      </c>
      <c r="C3">
        <v>1</v>
      </c>
      <c r="D3" s="1">
        <f>(B3+C3)/A3/20</f>
        <v>3.05</v>
      </c>
    </row>
    <row r="4" spans="1:4" x14ac:dyDescent="0.25">
      <c r="A4">
        <f>1+A3</f>
        <v>2</v>
      </c>
      <c r="B4">
        <v>60</v>
      </c>
      <c r="C4">
        <f>1+C3</f>
        <v>2</v>
      </c>
      <c r="D4" s="1">
        <f t="shared" ref="D4:D52" si="0">(B4+C4)/A4/20</f>
        <v>1.55</v>
      </c>
    </row>
    <row r="5" spans="1:4" x14ac:dyDescent="0.25">
      <c r="A5">
        <f t="shared" ref="A5:C52" si="1">1+A4</f>
        <v>3</v>
      </c>
      <c r="B5">
        <v>60</v>
      </c>
      <c r="C5">
        <f t="shared" si="1"/>
        <v>3</v>
      </c>
      <c r="D5" s="1">
        <f t="shared" si="0"/>
        <v>1.05</v>
      </c>
    </row>
    <row r="6" spans="1:4" x14ac:dyDescent="0.25">
      <c r="A6">
        <f t="shared" si="1"/>
        <v>4</v>
      </c>
      <c r="B6">
        <v>60</v>
      </c>
      <c r="C6">
        <f t="shared" si="1"/>
        <v>4</v>
      </c>
      <c r="D6" s="1">
        <f t="shared" si="0"/>
        <v>0.8</v>
      </c>
    </row>
    <row r="7" spans="1:4" x14ac:dyDescent="0.25">
      <c r="A7">
        <f t="shared" si="1"/>
        <v>5</v>
      </c>
      <c r="B7">
        <v>60</v>
      </c>
      <c r="C7">
        <f t="shared" si="1"/>
        <v>5</v>
      </c>
      <c r="D7" s="1">
        <f t="shared" si="0"/>
        <v>0.65</v>
      </c>
    </row>
    <row r="8" spans="1:4" x14ac:dyDescent="0.25">
      <c r="A8">
        <f t="shared" si="1"/>
        <v>6</v>
      </c>
      <c r="B8">
        <v>60</v>
      </c>
      <c r="C8">
        <f t="shared" si="1"/>
        <v>6</v>
      </c>
      <c r="D8" s="1">
        <f t="shared" si="0"/>
        <v>0.55000000000000004</v>
      </c>
    </row>
    <row r="9" spans="1:4" x14ac:dyDescent="0.25">
      <c r="A9">
        <f t="shared" si="1"/>
        <v>7</v>
      </c>
      <c r="B9">
        <v>60</v>
      </c>
      <c r="C9">
        <f t="shared" si="1"/>
        <v>7</v>
      </c>
      <c r="D9" s="1">
        <f t="shared" si="0"/>
        <v>0.47857142857142854</v>
      </c>
    </row>
    <row r="10" spans="1:4" x14ac:dyDescent="0.25">
      <c r="A10">
        <f t="shared" si="1"/>
        <v>8</v>
      </c>
      <c r="B10">
        <v>60</v>
      </c>
      <c r="C10">
        <f t="shared" si="1"/>
        <v>8</v>
      </c>
      <c r="D10" s="1">
        <f t="shared" si="0"/>
        <v>0.42499999999999999</v>
      </c>
    </row>
    <row r="11" spans="1:4" x14ac:dyDescent="0.25">
      <c r="A11">
        <f t="shared" si="1"/>
        <v>9</v>
      </c>
      <c r="B11">
        <v>60</v>
      </c>
      <c r="C11">
        <f t="shared" si="1"/>
        <v>9</v>
      </c>
      <c r="D11" s="1">
        <f t="shared" si="0"/>
        <v>0.38333333333333336</v>
      </c>
    </row>
    <row r="12" spans="1:4" x14ac:dyDescent="0.25">
      <c r="A12">
        <f t="shared" si="1"/>
        <v>10</v>
      </c>
      <c r="B12">
        <v>60</v>
      </c>
      <c r="C12">
        <f t="shared" si="1"/>
        <v>10</v>
      </c>
      <c r="D12" s="1">
        <f t="shared" si="0"/>
        <v>0.35</v>
      </c>
    </row>
    <row r="13" spans="1:4" x14ac:dyDescent="0.25">
      <c r="A13">
        <f t="shared" si="1"/>
        <v>11</v>
      </c>
      <c r="B13">
        <v>60</v>
      </c>
      <c r="C13">
        <f t="shared" si="1"/>
        <v>11</v>
      </c>
      <c r="D13" s="1">
        <f t="shared" si="0"/>
        <v>0.3227272727272727</v>
      </c>
    </row>
    <row r="14" spans="1:4" x14ac:dyDescent="0.25">
      <c r="A14">
        <f t="shared" si="1"/>
        <v>12</v>
      </c>
      <c r="B14">
        <v>60</v>
      </c>
      <c r="C14">
        <f t="shared" si="1"/>
        <v>12</v>
      </c>
      <c r="D14" s="1">
        <f t="shared" si="0"/>
        <v>0.3</v>
      </c>
    </row>
    <row r="15" spans="1:4" x14ac:dyDescent="0.25">
      <c r="A15">
        <f t="shared" si="1"/>
        <v>13</v>
      </c>
      <c r="B15">
        <v>60</v>
      </c>
      <c r="C15">
        <f t="shared" si="1"/>
        <v>13</v>
      </c>
      <c r="D15" s="1">
        <f t="shared" si="0"/>
        <v>0.28076923076923077</v>
      </c>
    </row>
    <row r="16" spans="1:4" x14ac:dyDescent="0.25">
      <c r="A16">
        <f t="shared" si="1"/>
        <v>14</v>
      </c>
      <c r="B16">
        <v>60</v>
      </c>
      <c r="C16">
        <f t="shared" si="1"/>
        <v>14</v>
      </c>
      <c r="D16" s="1">
        <f t="shared" si="0"/>
        <v>0.26428571428571429</v>
      </c>
    </row>
    <row r="17" spans="1:4" x14ac:dyDescent="0.25">
      <c r="A17">
        <f t="shared" si="1"/>
        <v>15</v>
      </c>
      <c r="B17">
        <v>60</v>
      </c>
      <c r="C17">
        <f t="shared" si="1"/>
        <v>15</v>
      </c>
      <c r="D17" s="1">
        <f t="shared" si="0"/>
        <v>0.25</v>
      </c>
    </row>
    <row r="18" spans="1:4" x14ac:dyDescent="0.25">
      <c r="A18">
        <f t="shared" si="1"/>
        <v>16</v>
      </c>
      <c r="B18">
        <v>60</v>
      </c>
      <c r="C18">
        <f t="shared" si="1"/>
        <v>16</v>
      </c>
      <c r="D18" s="1">
        <f t="shared" si="0"/>
        <v>0.23749999999999999</v>
      </c>
    </row>
    <row r="19" spans="1:4" x14ac:dyDescent="0.25">
      <c r="A19">
        <f t="shared" si="1"/>
        <v>17</v>
      </c>
      <c r="B19">
        <v>60</v>
      </c>
      <c r="C19">
        <f t="shared" si="1"/>
        <v>17</v>
      </c>
      <c r="D19" s="1">
        <f t="shared" si="0"/>
        <v>0.22647058823529412</v>
      </c>
    </row>
    <row r="20" spans="1:4" x14ac:dyDescent="0.25">
      <c r="A20">
        <f t="shared" si="1"/>
        <v>18</v>
      </c>
      <c r="B20">
        <v>60</v>
      </c>
      <c r="C20">
        <f t="shared" si="1"/>
        <v>18</v>
      </c>
      <c r="D20" s="1">
        <f t="shared" si="0"/>
        <v>0.21666666666666665</v>
      </c>
    </row>
    <row r="21" spans="1:4" x14ac:dyDescent="0.25">
      <c r="A21">
        <f t="shared" si="1"/>
        <v>19</v>
      </c>
      <c r="B21">
        <v>60</v>
      </c>
      <c r="C21">
        <f t="shared" si="1"/>
        <v>19</v>
      </c>
      <c r="D21" s="1">
        <f t="shared" si="0"/>
        <v>0.20789473684210527</v>
      </c>
    </row>
    <row r="22" spans="1:4" x14ac:dyDescent="0.25">
      <c r="A22">
        <f t="shared" si="1"/>
        <v>20</v>
      </c>
      <c r="B22">
        <v>60</v>
      </c>
      <c r="C22">
        <f t="shared" si="1"/>
        <v>20</v>
      </c>
      <c r="D22" s="1">
        <f t="shared" si="0"/>
        <v>0.2</v>
      </c>
    </row>
    <row r="23" spans="1:4" x14ac:dyDescent="0.25">
      <c r="A23">
        <f t="shared" si="1"/>
        <v>21</v>
      </c>
      <c r="B23">
        <v>60</v>
      </c>
      <c r="C23">
        <f t="shared" si="1"/>
        <v>21</v>
      </c>
      <c r="D23" s="1">
        <f t="shared" si="0"/>
        <v>0.19285714285714287</v>
      </c>
    </row>
    <row r="24" spans="1:4" x14ac:dyDescent="0.25">
      <c r="A24">
        <f t="shared" si="1"/>
        <v>22</v>
      </c>
      <c r="B24">
        <v>60</v>
      </c>
      <c r="C24">
        <f t="shared" si="1"/>
        <v>22</v>
      </c>
      <c r="D24" s="1">
        <f t="shared" si="0"/>
        <v>0.18636363636363634</v>
      </c>
    </row>
    <row r="25" spans="1:4" x14ac:dyDescent="0.25">
      <c r="A25">
        <f t="shared" si="1"/>
        <v>23</v>
      </c>
      <c r="B25">
        <v>60</v>
      </c>
      <c r="C25">
        <f t="shared" si="1"/>
        <v>23</v>
      </c>
      <c r="D25" s="1">
        <f t="shared" si="0"/>
        <v>0.18043478260869567</v>
      </c>
    </row>
    <row r="26" spans="1:4" x14ac:dyDescent="0.25">
      <c r="A26">
        <f t="shared" si="1"/>
        <v>24</v>
      </c>
      <c r="B26">
        <v>60</v>
      </c>
      <c r="C26">
        <f t="shared" si="1"/>
        <v>24</v>
      </c>
      <c r="D26" s="1">
        <f t="shared" si="0"/>
        <v>0.17499999999999999</v>
      </c>
    </row>
    <row r="27" spans="1:4" x14ac:dyDescent="0.25">
      <c r="A27">
        <f>1+A26</f>
        <v>25</v>
      </c>
      <c r="B27">
        <v>60</v>
      </c>
      <c r="C27">
        <f>1+C26</f>
        <v>25</v>
      </c>
      <c r="D27" s="1">
        <f t="shared" si="0"/>
        <v>0.16999999999999998</v>
      </c>
    </row>
    <row r="28" spans="1:4" x14ac:dyDescent="0.25">
      <c r="A28">
        <f t="shared" si="1"/>
        <v>26</v>
      </c>
      <c r="B28">
        <v>60</v>
      </c>
      <c r="C28">
        <f t="shared" si="1"/>
        <v>26</v>
      </c>
      <c r="D28" s="1">
        <f t="shared" si="0"/>
        <v>0.16538461538461538</v>
      </c>
    </row>
    <row r="29" spans="1:4" x14ac:dyDescent="0.25">
      <c r="A29">
        <f t="shared" si="1"/>
        <v>27</v>
      </c>
      <c r="B29">
        <v>60</v>
      </c>
      <c r="C29">
        <f t="shared" si="1"/>
        <v>27</v>
      </c>
      <c r="D29" s="1">
        <f t="shared" si="0"/>
        <v>0.16111111111111112</v>
      </c>
    </row>
    <row r="30" spans="1:4" x14ac:dyDescent="0.25">
      <c r="A30">
        <f t="shared" si="1"/>
        <v>28</v>
      </c>
      <c r="B30">
        <v>60</v>
      </c>
      <c r="C30">
        <f t="shared" si="1"/>
        <v>28</v>
      </c>
      <c r="D30" s="1">
        <f t="shared" si="0"/>
        <v>0.15714285714285714</v>
      </c>
    </row>
    <row r="31" spans="1:4" x14ac:dyDescent="0.25">
      <c r="A31">
        <f t="shared" si="1"/>
        <v>29</v>
      </c>
      <c r="B31">
        <v>60</v>
      </c>
      <c r="C31">
        <f t="shared" si="1"/>
        <v>29</v>
      </c>
      <c r="D31" s="1">
        <f t="shared" si="0"/>
        <v>0.15344827586206897</v>
      </c>
    </row>
    <row r="32" spans="1:4" x14ac:dyDescent="0.25">
      <c r="A32">
        <f t="shared" si="1"/>
        <v>30</v>
      </c>
      <c r="B32">
        <v>60</v>
      </c>
      <c r="C32">
        <f t="shared" si="1"/>
        <v>30</v>
      </c>
      <c r="D32" s="1">
        <f t="shared" si="0"/>
        <v>0.15</v>
      </c>
    </row>
    <row r="33" spans="1:4" x14ac:dyDescent="0.25">
      <c r="A33">
        <f t="shared" si="1"/>
        <v>31</v>
      </c>
      <c r="B33">
        <v>60</v>
      </c>
      <c r="C33">
        <f t="shared" si="1"/>
        <v>31</v>
      </c>
      <c r="D33" s="1">
        <f t="shared" si="0"/>
        <v>0.14677419354838711</v>
      </c>
    </row>
    <row r="34" spans="1:4" x14ac:dyDescent="0.25">
      <c r="A34">
        <f t="shared" si="1"/>
        <v>32</v>
      </c>
      <c r="B34">
        <v>60</v>
      </c>
      <c r="C34">
        <f t="shared" si="1"/>
        <v>32</v>
      </c>
      <c r="D34" s="1">
        <f t="shared" si="0"/>
        <v>0.14374999999999999</v>
      </c>
    </row>
    <row r="35" spans="1:4" x14ac:dyDescent="0.25">
      <c r="A35">
        <f t="shared" si="1"/>
        <v>33</v>
      </c>
      <c r="B35">
        <v>60</v>
      </c>
      <c r="C35">
        <f t="shared" si="1"/>
        <v>33</v>
      </c>
      <c r="D35" s="1">
        <f t="shared" si="0"/>
        <v>0.14090909090909093</v>
      </c>
    </row>
    <row r="36" spans="1:4" x14ac:dyDescent="0.25">
      <c r="A36">
        <f t="shared" si="1"/>
        <v>34</v>
      </c>
      <c r="B36">
        <v>60</v>
      </c>
      <c r="C36">
        <f t="shared" si="1"/>
        <v>34</v>
      </c>
      <c r="D36" s="1">
        <f t="shared" si="0"/>
        <v>0.13823529411764707</v>
      </c>
    </row>
    <row r="37" spans="1:4" x14ac:dyDescent="0.25">
      <c r="A37">
        <f t="shared" si="1"/>
        <v>35</v>
      </c>
      <c r="B37">
        <v>60</v>
      </c>
      <c r="C37">
        <f t="shared" si="1"/>
        <v>35</v>
      </c>
      <c r="D37" s="1">
        <f t="shared" si="0"/>
        <v>0.13571428571428573</v>
      </c>
    </row>
    <row r="38" spans="1:4" x14ac:dyDescent="0.25">
      <c r="A38">
        <f>1+A37</f>
        <v>36</v>
      </c>
      <c r="B38">
        <v>60</v>
      </c>
      <c r="C38">
        <f>1+C37</f>
        <v>36</v>
      </c>
      <c r="D38" s="1">
        <f t="shared" si="0"/>
        <v>0.13333333333333333</v>
      </c>
    </row>
    <row r="39" spans="1:4" x14ac:dyDescent="0.25">
      <c r="A39">
        <f t="shared" si="1"/>
        <v>37</v>
      </c>
      <c r="B39">
        <v>60</v>
      </c>
      <c r="C39">
        <f t="shared" si="1"/>
        <v>37</v>
      </c>
      <c r="D39" s="1">
        <f t="shared" si="0"/>
        <v>0.13108108108108107</v>
      </c>
    </row>
    <row r="40" spans="1:4" x14ac:dyDescent="0.25">
      <c r="A40">
        <f t="shared" si="1"/>
        <v>38</v>
      </c>
      <c r="B40">
        <v>60</v>
      </c>
      <c r="C40">
        <f t="shared" si="1"/>
        <v>38</v>
      </c>
      <c r="D40" s="1">
        <f t="shared" si="0"/>
        <v>0.12894736842105264</v>
      </c>
    </row>
    <row r="41" spans="1:4" x14ac:dyDescent="0.25">
      <c r="A41">
        <f t="shared" si="1"/>
        <v>39</v>
      </c>
      <c r="B41">
        <v>60</v>
      </c>
      <c r="C41">
        <f t="shared" si="1"/>
        <v>39</v>
      </c>
      <c r="D41" s="1">
        <f t="shared" si="0"/>
        <v>0.12692307692307692</v>
      </c>
    </row>
    <row r="42" spans="1:4" x14ac:dyDescent="0.25">
      <c r="A42">
        <f t="shared" si="1"/>
        <v>40</v>
      </c>
      <c r="B42">
        <v>60</v>
      </c>
      <c r="C42">
        <f t="shared" si="1"/>
        <v>40</v>
      </c>
      <c r="D42" s="1">
        <f t="shared" si="0"/>
        <v>0.125</v>
      </c>
    </row>
    <row r="43" spans="1:4" x14ac:dyDescent="0.25">
      <c r="A43">
        <f t="shared" si="1"/>
        <v>41</v>
      </c>
      <c r="B43">
        <v>60</v>
      </c>
      <c r="C43">
        <f t="shared" si="1"/>
        <v>41</v>
      </c>
      <c r="D43" s="1">
        <f t="shared" si="0"/>
        <v>0.12317073170731707</v>
      </c>
    </row>
    <row r="44" spans="1:4" x14ac:dyDescent="0.25">
      <c r="A44">
        <f t="shared" si="1"/>
        <v>42</v>
      </c>
      <c r="B44">
        <v>60</v>
      </c>
      <c r="C44">
        <f t="shared" si="1"/>
        <v>42</v>
      </c>
      <c r="D44" s="1">
        <f t="shared" si="0"/>
        <v>0.12142857142857141</v>
      </c>
    </row>
    <row r="45" spans="1:4" x14ac:dyDescent="0.25">
      <c r="A45">
        <f t="shared" si="1"/>
        <v>43</v>
      </c>
      <c r="B45">
        <v>60</v>
      </c>
      <c r="C45">
        <f t="shared" si="1"/>
        <v>43</v>
      </c>
      <c r="D45" s="1">
        <f t="shared" si="0"/>
        <v>0.1197674418604651</v>
      </c>
    </row>
    <row r="46" spans="1:4" x14ac:dyDescent="0.25">
      <c r="A46">
        <f t="shared" si="1"/>
        <v>44</v>
      </c>
      <c r="B46">
        <v>60</v>
      </c>
      <c r="C46">
        <f t="shared" si="1"/>
        <v>44</v>
      </c>
      <c r="D46" s="1">
        <f t="shared" si="0"/>
        <v>0.11818181818181819</v>
      </c>
    </row>
    <row r="47" spans="1:4" x14ac:dyDescent="0.25">
      <c r="A47">
        <f t="shared" si="1"/>
        <v>45</v>
      </c>
      <c r="B47">
        <v>60</v>
      </c>
      <c r="C47">
        <f t="shared" si="1"/>
        <v>45</v>
      </c>
      <c r="D47" s="1">
        <f t="shared" si="0"/>
        <v>0.11666666666666667</v>
      </c>
    </row>
    <row r="48" spans="1:4" x14ac:dyDescent="0.25">
      <c r="A48">
        <f t="shared" si="1"/>
        <v>46</v>
      </c>
      <c r="B48">
        <v>60</v>
      </c>
      <c r="C48">
        <f t="shared" si="1"/>
        <v>46</v>
      </c>
      <c r="D48" s="1">
        <f t="shared" si="0"/>
        <v>0.11521739130434783</v>
      </c>
    </row>
    <row r="49" spans="1:4" x14ac:dyDescent="0.25">
      <c r="A49">
        <f t="shared" si="1"/>
        <v>47</v>
      </c>
      <c r="B49">
        <v>60</v>
      </c>
      <c r="C49">
        <f t="shared" si="1"/>
        <v>47</v>
      </c>
      <c r="D49" s="1">
        <f t="shared" si="0"/>
        <v>0.11382978723404255</v>
      </c>
    </row>
    <row r="50" spans="1:4" x14ac:dyDescent="0.25">
      <c r="A50">
        <f>1+A49</f>
        <v>48</v>
      </c>
      <c r="B50">
        <v>60</v>
      </c>
      <c r="C50">
        <f>1+C49</f>
        <v>48</v>
      </c>
      <c r="D50" s="1">
        <f t="shared" si="0"/>
        <v>0.1125</v>
      </c>
    </row>
    <row r="51" spans="1:4" x14ac:dyDescent="0.25">
      <c r="A51">
        <f t="shared" si="1"/>
        <v>49</v>
      </c>
      <c r="B51">
        <v>60</v>
      </c>
      <c r="C51">
        <f t="shared" si="1"/>
        <v>49</v>
      </c>
      <c r="D51" s="1">
        <f t="shared" si="0"/>
        <v>0.11122448979591837</v>
      </c>
    </row>
    <row r="52" spans="1:4" x14ac:dyDescent="0.25">
      <c r="A52">
        <f t="shared" si="1"/>
        <v>50</v>
      </c>
      <c r="B52">
        <v>60</v>
      </c>
      <c r="C52">
        <f t="shared" si="1"/>
        <v>50</v>
      </c>
      <c r="D52" s="1">
        <f t="shared" si="0"/>
        <v>0.11000000000000001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Availability</vt:lpstr>
      <vt:lpstr>BMP</vt:lpstr>
      <vt:lpstr>Cp</vt:lpstr>
      <vt:lpstr>Cpraw</vt:lpstr>
      <vt:lpstr>BMPraw</vt:lpstr>
      <vt:lpstr>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Davide Carecci</cp:lastModifiedBy>
  <dcterms:created xsi:type="dcterms:W3CDTF">2015-06-05T18:19:34Z</dcterms:created>
  <dcterms:modified xsi:type="dcterms:W3CDTF">2024-04-29T12:57:22Z</dcterms:modified>
</cp:coreProperties>
</file>