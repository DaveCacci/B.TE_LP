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3" autoFilterDateGrouping="1"/>
  </bookViews>
  <sheets>
    <sheet xmlns:r="http://schemas.openxmlformats.org/officeDocument/2006/relationships" name="Foglio1" sheetId="1" state="visible" r:id="rId1"/>
    <sheet xmlns:r="http://schemas.openxmlformats.org/officeDocument/2006/relationships" name="R-LP" sheetId="2" state="visible" r:id="rId2"/>
    <sheet xmlns:r="http://schemas.openxmlformats.org/officeDocument/2006/relationships" name="D-LP" sheetId="3" state="visible" r:id="rId3"/>
    <sheet xmlns:r="http://schemas.openxmlformats.org/officeDocument/2006/relationships" name="D-LP_real" sheetId="4" state="visible" r:id="rId4"/>
    <sheet xmlns:r="http://schemas.openxmlformats.org/officeDocument/2006/relationships" name="R-LP_real" sheetId="5" state="visible" r:id="rId5"/>
    <sheet xmlns:r="http://schemas.openxmlformats.org/officeDocument/2006/relationships" name="R-LP_real (2)" sheetId="6" state="visible" r:id="rId6"/>
    <sheet xmlns:r="http://schemas.openxmlformats.org/officeDocument/2006/relationships" name="D-LP_real (2)" sheetId="7" state="visible" r:id="rId7"/>
    <sheet xmlns:r="http://schemas.openxmlformats.org/officeDocument/2006/relationships" name="R-LP_real (3)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Aptos Narrow"/>
      <family val="2"/>
      <color theme="1"/>
      <sz val="11"/>
    </font>
    <font>
      <name val="Calibri"/>
      <family val="2"/>
      <color rgb="FFFF0000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1" fillId="0" borderId="3" applyAlignment="1" pivotButton="0" quotePrefix="0" xfId="0">
      <alignment horizontal="left"/>
    </xf>
    <xf numFmtId="164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" fontId="0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2" fontId="0" fillId="0" borderId="0" pivotButton="0" quotePrefix="0" xfId="0"/>
    <xf numFmtId="2" fontId="1" fillId="0" borderId="0" pivotButton="0" quotePrefix="0" xfId="0"/>
    <xf numFmtId="164" fontId="0" fillId="0" borderId="0" pivotButton="0" quotePrefix="0" xfId="0"/>
    <xf numFmtId="164" fontId="0" fillId="0" borderId="0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2" sqref="A2:A19"/>
    </sheetView>
  </sheetViews>
  <sheetFormatPr baseColWidth="8" defaultRowHeight="14.4"/>
  <cols>
    <col width="17.44140625" bestFit="1" customWidth="1" min="1" max="1"/>
    <col width="11.33203125" bestFit="1" customWidth="1" min="2" max="2"/>
    <col width="12.88671875" customWidth="1" min="3" max="3"/>
  </cols>
  <sheetData>
    <row r="1">
      <c r="A1" s="1" t="n"/>
      <c r="B1" s="2" t="n"/>
      <c r="C1" s="2" t="inlineStr">
        <is>
          <t>Run</t>
        </is>
      </c>
    </row>
    <row r="2">
      <c r="A2" s="10" t="inlineStr">
        <is>
          <t>HRT</t>
        </is>
      </c>
      <c r="B2" s="12" t="inlineStr">
        <is>
          <t>d-1</t>
        </is>
      </c>
      <c r="C2" s="3" t="n"/>
    </row>
    <row r="3">
      <c r="A3" s="11" t="inlineStr">
        <is>
          <t>Gamma_Z</t>
        </is>
      </c>
      <c r="B3" s="12" t="inlineStr">
        <is>
          <t>-</t>
        </is>
      </c>
      <c r="C3" s="6" t="n"/>
    </row>
    <row r="4">
      <c r="A4" s="11" t="inlineStr">
        <is>
          <t>Gamma_W</t>
        </is>
      </c>
      <c r="B4" s="12" t="inlineStr">
        <is>
          <t>-</t>
        </is>
      </c>
      <c r="C4" s="6" t="n"/>
    </row>
    <row r="5">
      <c r="A5" s="11" t="inlineStr">
        <is>
          <t>Gamma_L</t>
        </is>
      </c>
      <c r="B5" s="12" t="inlineStr">
        <is>
          <t>-</t>
        </is>
      </c>
      <c r="C5" s="6" t="n"/>
    </row>
    <row r="6">
      <c r="A6" s="11" t="inlineStr">
        <is>
          <t>Revenue</t>
        </is>
      </c>
      <c r="B6" s="13" t="inlineStr">
        <is>
          <t>€ d-1</t>
        </is>
      </c>
      <c r="C6" s="6" t="n"/>
    </row>
    <row r="7">
      <c r="A7" s="11" t="inlineStr">
        <is>
          <t>Purchase costs</t>
        </is>
      </c>
      <c r="B7" s="13" t="inlineStr">
        <is>
          <t>€ d-1</t>
        </is>
      </c>
      <c r="C7" s="6" t="n"/>
    </row>
    <row r="8">
      <c r="A8" s="11" t="inlineStr">
        <is>
          <t>Transportation costs</t>
        </is>
      </c>
      <c r="B8" s="13" t="inlineStr">
        <is>
          <t>€ d-1</t>
        </is>
      </c>
      <c r="C8" s="6" t="n"/>
    </row>
    <row r="9">
      <c r="A9" s="11" t="inlineStr">
        <is>
          <t>J</t>
        </is>
      </c>
      <c r="B9" s="13" t="inlineStr">
        <is>
          <t>€ d-1</t>
        </is>
      </c>
      <c r="C9" s="6" t="n"/>
    </row>
    <row r="10">
      <c r="A10" s="5" t="inlineStr">
        <is>
          <t>Barley silage</t>
        </is>
      </c>
      <c r="B10" s="6" t="inlineStr">
        <is>
          <t>tonFM</t>
        </is>
      </c>
      <c r="C10" s="7" t="n"/>
    </row>
    <row r="11">
      <c r="A11" s="5" t="inlineStr">
        <is>
          <t>Chicken dung</t>
        </is>
      </c>
      <c r="B11" s="6" t="inlineStr">
        <is>
          <t>tonFM</t>
        </is>
      </c>
      <c r="C11" s="7" t="n"/>
    </row>
    <row r="12">
      <c r="A12" s="5" t="inlineStr">
        <is>
          <t>Cow dung</t>
        </is>
      </c>
      <c r="B12" s="6" t="inlineStr">
        <is>
          <t>tonFM</t>
        </is>
      </c>
      <c r="C12" s="7" t="n"/>
    </row>
    <row r="13">
      <c r="A13" s="5" t="inlineStr">
        <is>
          <t>Cow slurry</t>
        </is>
      </c>
      <c r="B13" s="6" t="inlineStr">
        <is>
          <t>tonFM</t>
        </is>
      </c>
      <c r="C13" s="7" t="n"/>
    </row>
    <row r="14">
      <c r="A14" s="5" t="inlineStr">
        <is>
          <t>Maize silage</t>
        </is>
      </c>
      <c r="B14" s="6" t="inlineStr">
        <is>
          <t>tonFM</t>
        </is>
      </c>
      <c r="C14" s="7" t="n"/>
    </row>
    <row r="15">
      <c r="A15" s="5" t="inlineStr">
        <is>
          <t>Pig slurry</t>
        </is>
      </c>
      <c r="B15" s="6" t="inlineStr">
        <is>
          <t>tonFM</t>
        </is>
      </c>
      <c r="C15" s="7" t="n"/>
    </row>
    <row r="16">
      <c r="A16" s="5" t="inlineStr">
        <is>
          <t>Sorghum silage</t>
        </is>
      </c>
      <c r="B16" s="6" t="inlineStr">
        <is>
          <t>tonFM</t>
        </is>
      </c>
      <c r="C16" s="7" t="n"/>
    </row>
    <row r="17">
      <c r="A17" s="5" t="inlineStr">
        <is>
          <t>Tomato peels</t>
        </is>
      </c>
      <c r="B17" s="6" t="inlineStr">
        <is>
          <t>tonFM</t>
        </is>
      </c>
      <c r="C17" s="7" t="n"/>
    </row>
    <row r="18">
      <c r="A18" s="5" t="inlineStr">
        <is>
          <t>Triticale silage</t>
        </is>
      </c>
      <c r="B18" s="6" t="inlineStr">
        <is>
          <t>tonFM</t>
        </is>
      </c>
      <c r="C18" s="7" t="n"/>
    </row>
    <row r="19">
      <c r="A19" s="8" t="inlineStr">
        <is>
          <t>Wheat byproducts</t>
        </is>
      </c>
      <c r="B19" s="4" t="inlineStr">
        <is>
          <t>tonFM</t>
        </is>
      </c>
      <c r="C19" s="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zoomScale="80" zoomScaleNormal="80" workbookViewId="0">
      <selection activeCell="S8" sqref="S8"/>
    </sheetView>
  </sheetViews>
  <sheetFormatPr baseColWidth="8" defaultRowHeight="14.4"/>
  <cols>
    <col width="10.88671875" bestFit="1" customWidth="1" min="6" max="9"/>
    <col width="11.88671875" bestFit="1" customWidth="1" min="10" max="17"/>
    <col width="10.88671875" bestFit="1" customWidth="1" min="18" max="18"/>
    <col width="11.88671875" bestFit="1" customWidth="1" min="19" max="19"/>
    <col width="10.88671875" bestFit="1" customWidth="1" min="20" max="20"/>
  </cols>
  <sheetData>
    <row r="1">
      <c r="A1" s="10" t="inlineStr">
        <is>
          <t>HRT</t>
        </is>
      </c>
      <c r="B1" t="n">
        <v>20</v>
      </c>
      <c r="C1" t="n">
        <v>20</v>
      </c>
      <c r="D1" t="n">
        <v>20</v>
      </c>
      <c r="E1" t="n">
        <v>20</v>
      </c>
      <c r="F1" t="n">
        <v>20</v>
      </c>
      <c r="G1" t="n">
        <v>20</v>
      </c>
      <c r="H1" t="n">
        <v>20</v>
      </c>
      <c r="I1" t="n">
        <v>20</v>
      </c>
      <c r="J1" t="n">
        <v>20</v>
      </c>
      <c r="K1" t="n">
        <v>20</v>
      </c>
      <c r="L1" t="n">
        <v>20</v>
      </c>
      <c r="M1" t="n">
        <v>20</v>
      </c>
      <c r="N1" t="n">
        <v>19.99999999999999</v>
      </c>
      <c r="O1" t="n">
        <v>20</v>
      </c>
      <c r="P1" t="n">
        <v>20</v>
      </c>
      <c r="Q1" t="n">
        <v>20</v>
      </c>
      <c r="R1" t="n">
        <v>20</v>
      </c>
      <c r="S1" t="n">
        <v>20</v>
      </c>
      <c r="T1" t="n">
        <v>20</v>
      </c>
    </row>
    <row r="2">
      <c r="A2" s="11" t="inlineStr">
        <is>
          <t>Gamma_Z</t>
        </is>
      </c>
      <c r="B2" s="24" t="n">
        <v>7.155556</v>
      </c>
      <c r="C2" s="24" t="n">
        <v>7.155556</v>
      </c>
      <c r="D2" s="24" t="n">
        <v>7.155556</v>
      </c>
      <c r="E2" s="24" t="n">
        <v>7.155556</v>
      </c>
      <c r="F2" s="24" t="n">
        <v>7.155556254155416</v>
      </c>
      <c r="G2" s="24" t="n">
        <v>6.502527428523132</v>
      </c>
      <c r="H2" s="24" t="n">
        <v>6.502527428523132</v>
      </c>
      <c r="I2" s="24" t="n">
        <v>6.317525729689116</v>
      </c>
      <c r="J2" s="24" t="n">
        <v>6.317525729689116</v>
      </c>
      <c r="K2" s="24" t="n">
        <v>5.152912050461893</v>
      </c>
      <c r="L2" s="24" t="n">
        <v>5.152912050461893</v>
      </c>
      <c r="M2" s="24" t="n">
        <v>4.65705505963053</v>
      </c>
      <c r="N2" s="24" t="n">
        <v>4.65705505963053</v>
      </c>
      <c r="O2" s="24" t="n">
        <v>4.65705505963053</v>
      </c>
      <c r="P2" s="24" t="n">
        <v>4.65705505963053</v>
      </c>
      <c r="Q2" s="24" t="n">
        <v>7.155556254155416</v>
      </c>
      <c r="R2" s="24" t="n">
        <v>7.155556254155416</v>
      </c>
      <c r="S2" s="24" t="n">
        <v>0</v>
      </c>
      <c r="T2" s="24" t="n">
        <v>20</v>
      </c>
    </row>
    <row r="3">
      <c r="A3" s="11" t="inlineStr">
        <is>
          <t>Gamma_W</t>
        </is>
      </c>
      <c r="B3" s="24" t="n">
        <v>5.400348</v>
      </c>
      <c r="C3" s="24" t="n">
        <v>5.400348</v>
      </c>
      <c r="D3" s="24" t="n">
        <v>5.400348</v>
      </c>
      <c r="E3" s="24" t="n">
        <v>5.400348</v>
      </c>
      <c r="F3" s="24" t="n">
        <v>5.019225290086914</v>
      </c>
      <c r="G3" s="24" t="n">
        <v>4.71194882579189</v>
      </c>
      <c r="H3" s="24" t="n">
        <v>4.510140835990316</v>
      </c>
      <c r="I3" s="24" t="n">
        <v>4.067213815144893</v>
      </c>
      <c r="J3" s="24" t="n">
        <v>3.659665555746376</v>
      </c>
      <c r="K3" s="24" t="n">
        <v>3.290072925606738</v>
      </c>
      <c r="L3" s="24" t="n">
        <v>3.017668834847021</v>
      </c>
      <c r="M3" s="24" t="n">
        <v>2.70677617114106</v>
      </c>
      <c r="N3" s="24" t="n">
        <v>2.218151761886142</v>
      </c>
      <c r="O3" s="24" t="n">
        <v>2.070141688138833</v>
      </c>
      <c r="P3" s="24" t="n">
        <v>1.804729825901729</v>
      </c>
      <c r="Q3" s="24" t="n">
        <v>5.961118432697821</v>
      </c>
      <c r="R3" s="24" t="n">
        <v>5.911735779009457</v>
      </c>
      <c r="S3" s="24" t="n">
        <v>0</v>
      </c>
      <c r="T3" s="24" t="n">
        <v>20</v>
      </c>
    </row>
    <row r="4">
      <c r="A4" s="11" t="inlineStr">
        <is>
          <t>Gamma_L</t>
        </is>
      </c>
      <c r="B4" s="24" t="n">
        <v>7.740455</v>
      </c>
      <c r="C4" s="24" t="n">
        <v>7.740455</v>
      </c>
      <c r="D4" s="24" t="n">
        <v>7.740455</v>
      </c>
      <c r="E4" s="24" t="n">
        <v>7.740455</v>
      </c>
      <c r="F4" s="24" t="n">
        <v>6.786140424415112</v>
      </c>
      <c r="G4" s="24" t="n">
        <v>5.673513747994448</v>
      </c>
      <c r="H4" s="24" t="n">
        <v>4.907082237594834</v>
      </c>
      <c r="I4" s="24" t="n">
        <v>4.280866108334049</v>
      </c>
      <c r="J4" s="24" t="n">
        <v>3.723297411059034</v>
      </c>
      <c r="K4" s="24" t="n">
        <v>3.196327967421337</v>
      </c>
      <c r="L4" s="24" t="n">
        <v>2.670861074405527</v>
      </c>
      <c r="M4" s="24" t="n">
        <v>2.112550834011858</v>
      </c>
      <c r="N4" s="24" t="n">
        <v>1.451623337218208</v>
      </c>
      <c r="O4" s="24" t="n">
        <v>1.012850377771075</v>
      </c>
      <c r="P4" s="24" t="n">
        <v>0.4483377265745435</v>
      </c>
      <c r="Q4" s="24" t="n">
        <v>0</v>
      </c>
      <c r="R4" s="24" t="n">
        <v>9.597051824376162</v>
      </c>
      <c r="S4" s="24" t="n">
        <v>0</v>
      </c>
      <c r="T4" s="24" t="n">
        <v>20</v>
      </c>
    </row>
    <row r="5">
      <c r="A5" s="11" t="inlineStr">
        <is>
          <t>Revenue</t>
        </is>
      </c>
      <c r="B5" s="23" t="n">
        <v>9978.152584627785</v>
      </c>
      <c r="C5" s="23" t="n">
        <v>11825.7094722556</v>
      </c>
      <c r="D5" s="23" t="n">
        <v>11825.7094722556</v>
      </c>
      <c r="E5" s="23" t="n">
        <v>9981.649915952836</v>
      </c>
      <c r="F5" s="24" t="n">
        <v>9978.152584627785</v>
      </c>
      <c r="G5" s="24" t="n">
        <v>9965.692674843796</v>
      </c>
      <c r="H5" s="24" t="n">
        <v>9980.807423785292</v>
      </c>
      <c r="I5" s="24" t="n">
        <v>9971.943031220724</v>
      </c>
      <c r="J5" s="24" t="n">
        <v>10033.65295298753</v>
      </c>
      <c r="K5" s="24" t="n">
        <v>10105.24898769718</v>
      </c>
      <c r="L5" s="24" t="n">
        <v>10282.47934650832</v>
      </c>
      <c r="M5" s="24" t="n">
        <v>10479.38850440542</v>
      </c>
      <c r="N5" s="24" t="n">
        <v>10712.4895070539</v>
      </c>
      <c r="O5" s="24" t="n">
        <v>10832.49428668027</v>
      </c>
      <c r="P5" s="24" t="n">
        <v>11450.13710226345</v>
      </c>
      <c r="Q5" s="24" t="n">
        <v>11825.7094722556</v>
      </c>
      <c r="R5" s="24" t="n">
        <v>9978.152584627785</v>
      </c>
      <c r="S5" s="24" t="n">
        <v>11825.7094722556</v>
      </c>
      <c r="T5" s="24" t="n">
        <v>9978.152584627787</v>
      </c>
    </row>
    <row r="6">
      <c r="A6" s="11" t="inlineStr">
        <is>
          <t>Purchase costs</t>
        </is>
      </c>
      <c r="B6" s="23" t="n">
        <v>4959.678470429362</v>
      </c>
      <c r="C6" s="23" t="n">
        <v>4024.640837013967</v>
      </c>
      <c r="D6" s="23" t="n">
        <v>4964.204591597475</v>
      </c>
      <c r="E6" s="23" t="n">
        <v>4024.640837013967</v>
      </c>
      <c r="F6" s="24" t="n">
        <v>4959.678470429364</v>
      </c>
      <c r="G6" s="24" t="n">
        <v>4946.386393817123</v>
      </c>
      <c r="H6" s="24" t="n">
        <v>4945.100253068736</v>
      </c>
      <c r="I6" s="24" t="n">
        <v>4892.53607690803</v>
      </c>
      <c r="J6" s="24" t="n">
        <v>4880.670076551378</v>
      </c>
      <c r="K6" s="24" t="n">
        <v>4856.333290329972</v>
      </c>
      <c r="L6" s="24" t="n">
        <v>4833.132885454626</v>
      </c>
      <c r="M6" s="24" t="n">
        <v>4787.235608852824</v>
      </c>
      <c r="N6" s="24" t="n">
        <v>4712.439144471442</v>
      </c>
      <c r="O6" s="24" t="n">
        <v>4594.867768566397</v>
      </c>
      <c r="P6" s="24" t="n">
        <v>4755.400316505863</v>
      </c>
      <c r="Q6" s="24" t="n">
        <v>4964.204591597475</v>
      </c>
      <c r="R6" s="24" t="n">
        <v>4959.678470429364</v>
      </c>
      <c r="S6" s="24" t="n">
        <v>4106.117124493631</v>
      </c>
      <c r="T6" s="24" t="n">
        <v>4959.678470429363</v>
      </c>
    </row>
    <row r="7">
      <c r="A7" s="11" t="inlineStr">
        <is>
          <t>Transportation costs</t>
        </is>
      </c>
      <c r="B7" s="23" t="n">
        <v>894.4298384874014</v>
      </c>
      <c r="C7" s="23" t="n">
        <v>894.5240004026952</v>
      </c>
      <c r="D7" s="23" t="n">
        <v>894.5240004026953</v>
      </c>
      <c r="E7" s="23" t="n">
        <v>894.5240004026952</v>
      </c>
      <c r="F7" s="24" t="n">
        <v>894.4298384874014</v>
      </c>
      <c r="G7" s="24" t="n">
        <v>893.376223334287</v>
      </c>
      <c r="H7" s="24" t="n">
        <v>893.376223334287</v>
      </c>
      <c r="I7" s="24" t="n">
        <v>892.1712838494251</v>
      </c>
      <c r="J7" s="24" t="n">
        <v>894.6190584030537</v>
      </c>
      <c r="K7" s="24" t="n">
        <v>898.4008735698588</v>
      </c>
      <c r="L7" s="24" t="n">
        <v>903.8270317471701</v>
      </c>
      <c r="M7" s="24" t="n">
        <v>903.8270317471701</v>
      </c>
      <c r="N7" s="24" t="n">
        <v>903.8270317471701</v>
      </c>
      <c r="O7" s="24" t="n">
        <v>914.835849215815</v>
      </c>
      <c r="P7" s="24" t="n">
        <v>894.6605932238361</v>
      </c>
      <c r="Q7" s="24" t="n">
        <v>894.5240004026953</v>
      </c>
      <c r="R7" s="24" t="n">
        <v>894.4298384874014</v>
      </c>
      <c r="S7" s="24" t="n">
        <v>894.5052287611085</v>
      </c>
      <c r="T7" s="24" t="n">
        <v>894.4298384874013</v>
      </c>
    </row>
    <row r="8">
      <c r="A8" s="11" t="inlineStr">
        <is>
          <t>J</t>
        </is>
      </c>
      <c r="B8" s="23" t="n">
        <v>4124.044275711021</v>
      </c>
      <c r="C8" s="23" t="n">
        <v>6906.544634838936</v>
      </c>
      <c r="D8" s="23" t="n">
        <v>5966.980880255427</v>
      </c>
      <c r="E8" s="23" t="n">
        <v>5062.485078536174</v>
      </c>
      <c r="F8" s="24" t="n">
        <v>4124.04427571102</v>
      </c>
      <c r="G8" s="24" t="n">
        <v>4125.930057692387</v>
      </c>
      <c r="H8" s="24" t="n">
        <v>4142.33094738227</v>
      </c>
      <c r="I8" s="24" t="n">
        <v>4187.235670463269</v>
      </c>
      <c r="J8" s="24" t="n">
        <v>4258.363818033102</v>
      </c>
      <c r="K8" s="24" t="n">
        <v>4350.514823797353</v>
      </c>
      <c r="L8" s="24" t="n">
        <v>4545.519429306528</v>
      </c>
      <c r="M8" s="24" t="n">
        <v>4788.32586380543</v>
      </c>
      <c r="N8" s="24" t="n">
        <v>5096.223330835287</v>
      </c>
      <c r="O8" s="24" t="n">
        <v>5322.790668898058</v>
      </c>
      <c r="P8" s="24" t="n">
        <v>5800.076192533747</v>
      </c>
      <c r="Q8" s="24" t="n">
        <v>5966.980880255429</v>
      </c>
      <c r="R8" s="24" t="n">
        <v>4124.04427571102</v>
      </c>
      <c r="S8" s="24" t="n">
        <v>6825.087119000857</v>
      </c>
      <c r="T8" s="24" t="n">
        <v>4124.044275711023</v>
      </c>
    </row>
    <row r="9">
      <c r="A9" s="5" t="inlineStr">
        <is>
          <t>Barley silage</t>
        </is>
      </c>
      <c r="B9" s="12" t="n">
        <v>5</v>
      </c>
      <c r="C9" s="12" t="n">
        <v>4.03</v>
      </c>
      <c r="D9" s="12" t="n">
        <v>4.03</v>
      </c>
      <c r="E9" s="12" t="n">
        <v>4.03</v>
      </c>
      <c r="F9" s="12" t="n">
        <v>5</v>
      </c>
      <c r="G9" s="12" t="n">
        <v>5</v>
      </c>
      <c r="H9" s="12" t="n">
        <v>5</v>
      </c>
      <c r="I9" s="12" t="n">
        <v>5.26</v>
      </c>
      <c r="J9" s="12" t="n">
        <v>5.98</v>
      </c>
      <c r="K9" s="12" t="n">
        <v>7.05</v>
      </c>
      <c r="L9" s="12" t="n">
        <v>7.02</v>
      </c>
      <c r="M9" s="12" t="n">
        <v>7.02</v>
      </c>
      <c r="N9" s="12" t="n">
        <v>7.02</v>
      </c>
      <c r="O9" s="12" t="n">
        <v>6.87</v>
      </c>
      <c r="P9" s="12" t="n">
        <v>5.84</v>
      </c>
      <c r="Q9" s="12" t="n">
        <v>4.03</v>
      </c>
      <c r="R9" s="12" t="n">
        <v>5</v>
      </c>
      <c r="S9" s="12" t="n">
        <v>4.03</v>
      </c>
      <c r="T9" s="12" t="n">
        <v>5</v>
      </c>
    </row>
    <row r="10">
      <c r="A10" s="5" t="inlineStr">
        <is>
          <t>Chicken dung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0.16</v>
      </c>
      <c r="H10" s="12" t="n">
        <v>0.16</v>
      </c>
      <c r="I10" s="12" t="n">
        <v>0.86</v>
      </c>
      <c r="J10" s="12" t="n">
        <v>0.52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</row>
    <row r="11">
      <c r="A11" s="5" t="inlineStr">
        <is>
          <t>Cow dung</t>
        </is>
      </c>
      <c r="B11" s="12" t="n">
        <v>1.78</v>
      </c>
      <c r="C11" s="12" t="n">
        <v>1.78</v>
      </c>
      <c r="D11" s="12" t="n">
        <v>1.78</v>
      </c>
      <c r="E11" s="12" t="n">
        <v>1.78</v>
      </c>
      <c r="F11" s="12" t="n">
        <v>1.78</v>
      </c>
      <c r="G11" s="12" t="n">
        <v>1.78</v>
      </c>
      <c r="H11" s="12" t="n">
        <v>1.78</v>
      </c>
      <c r="I11" s="12" t="n">
        <v>1.78</v>
      </c>
      <c r="J11" s="12" t="n">
        <v>1.78</v>
      </c>
      <c r="K11" s="12" t="n">
        <v>1.78</v>
      </c>
      <c r="L11" s="12" t="n">
        <v>1.78</v>
      </c>
      <c r="M11" s="12" t="n">
        <v>1.78</v>
      </c>
      <c r="N11" s="12" t="n">
        <v>1.78</v>
      </c>
      <c r="O11" s="12" t="n">
        <v>1.78</v>
      </c>
      <c r="P11" s="12" t="n">
        <v>1.78</v>
      </c>
      <c r="Q11" s="12" t="n">
        <v>1.78</v>
      </c>
      <c r="R11" s="12" t="n">
        <v>1.78</v>
      </c>
      <c r="S11" s="12" t="n">
        <v>1.78</v>
      </c>
      <c r="T11" s="12" t="n">
        <v>1.78</v>
      </c>
    </row>
    <row r="12">
      <c r="A12" s="5" t="inlineStr">
        <is>
          <t>Cow slurry</t>
        </is>
      </c>
      <c r="B12" s="12" t="n">
        <v>74.01000000000001</v>
      </c>
      <c r="C12" s="12" t="n">
        <v>74.19</v>
      </c>
      <c r="D12" s="12" t="n">
        <v>74.19</v>
      </c>
      <c r="E12" s="12" t="n">
        <v>74.19</v>
      </c>
      <c r="F12" s="12" t="n">
        <v>74.01000000000001</v>
      </c>
      <c r="G12" s="12" t="n">
        <v>71.84999999999999</v>
      </c>
      <c r="H12" s="12" t="n">
        <v>71.84999999999999</v>
      </c>
      <c r="I12" s="12" t="n">
        <v>62.52</v>
      </c>
      <c r="J12" s="12" t="n">
        <v>60.78</v>
      </c>
      <c r="K12" s="12" t="n">
        <v>46.27</v>
      </c>
      <c r="L12" s="12" t="n">
        <v>35.32</v>
      </c>
      <c r="M12" s="12" t="n">
        <v>35.32</v>
      </c>
      <c r="N12" s="12" t="n">
        <v>35.32</v>
      </c>
      <c r="O12" s="12" t="n">
        <v>48.61</v>
      </c>
      <c r="P12" s="12" t="n">
        <v>33.13</v>
      </c>
      <c r="Q12" s="12" t="n">
        <v>74.19</v>
      </c>
      <c r="R12" s="12" t="n">
        <v>74.01000000000001</v>
      </c>
      <c r="S12" s="12" t="n">
        <v>74.19</v>
      </c>
      <c r="T12" s="12" t="n">
        <v>74.01000000000001</v>
      </c>
    </row>
    <row r="13">
      <c r="A13" s="5" t="inlineStr">
        <is>
          <t>Maize silage</t>
        </is>
      </c>
      <c r="B13" s="12" t="n">
        <v>19.21</v>
      </c>
      <c r="C13" s="12" t="n">
        <v>20</v>
      </c>
      <c r="D13" s="12" t="n">
        <v>20</v>
      </c>
      <c r="E13" s="12" t="n">
        <v>20</v>
      </c>
      <c r="F13" s="12" t="n">
        <v>19.21</v>
      </c>
      <c r="G13" s="12" t="n">
        <v>18.68</v>
      </c>
      <c r="H13" s="12" t="n">
        <v>18.68</v>
      </c>
      <c r="I13" s="12" t="n">
        <v>16.18</v>
      </c>
      <c r="J13" s="12" t="n">
        <v>15.72</v>
      </c>
      <c r="K13" s="12" t="n">
        <v>13.99</v>
      </c>
      <c r="L13" s="12" t="n">
        <v>12.9</v>
      </c>
      <c r="M13" s="12" t="n">
        <v>12.9</v>
      </c>
      <c r="N13" s="12" t="n">
        <v>12.9</v>
      </c>
      <c r="O13" s="12" t="n">
        <v>9.67</v>
      </c>
      <c r="P13" s="12" t="n">
        <v>20</v>
      </c>
      <c r="Q13" s="12" t="n">
        <v>20</v>
      </c>
      <c r="R13" s="12" t="n">
        <v>19.21</v>
      </c>
      <c r="S13" s="12" t="n">
        <v>20</v>
      </c>
      <c r="T13" s="12" t="n">
        <v>19.21</v>
      </c>
    </row>
    <row r="14">
      <c r="A14" s="5" t="inlineStr">
        <is>
          <t>Pig slurry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1.93</v>
      </c>
      <c r="H14" s="12" t="n">
        <v>1.93</v>
      </c>
      <c r="I14" s="12" t="n">
        <v>10.2</v>
      </c>
      <c r="J14" s="12" t="n">
        <v>11.6</v>
      </c>
      <c r="K14" s="12" t="n">
        <v>24.52</v>
      </c>
      <c r="L14" s="12" t="n">
        <v>34.45</v>
      </c>
      <c r="M14" s="12" t="n">
        <v>34.45</v>
      </c>
      <c r="N14" s="12" t="n">
        <v>34.45</v>
      </c>
      <c r="O14" s="12" t="n">
        <v>21.99</v>
      </c>
      <c r="P14" s="12" t="n">
        <v>37.49</v>
      </c>
      <c r="Q14" s="12" t="n">
        <v>0</v>
      </c>
      <c r="R14" s="12" t="n">
        <v>0</v>
      </c>
      <c r="S14" s="12" t="n">
        <v>0</v>
      </c>
      <c r="T14" s="12" t="n">
        <v>0</v>
      </c>
    </row>
    <row r="15">
      <c r="A15" s="5" t="inlineStr">
        <is>
          <t>Sorghum silage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0.19</v>
      </c>
      <c r="H15" s="12" t="n">
        <v>0.19</v>
      </c>
      <c r="I15" s="12" t="n">
        <v>1.02</v>
      </c>
      <c r="J15" s="12" t="n">
        <v>1.16</v>
      </c>
      <c r="K15" s="12" t="n">
        <v>1.16</v>
      </c>
      <c r="L15" s="12" t="n">
        <v>1.16</v>
      </c>
      <c r="M15" s="12" t="n">
        <v>1.16</v>
      </c>
      <c r="N15" s="12" t="n">
        <v>1.16</v>
      </c>
      <c r="O15" s="12" t="n">
        <v>0.93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</row>
    <row r="16">
      <c r="A16" s="5" t="inlineStr">
        <is>
          <t>Tomato peels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</row>
    <row r="17">
      <c r="A17" s="5" t="inlineStr">
        <is>
          <t>Triticale silage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0.41</v>
      </c>
      <c r="H17" s="12" t="n">
        <v>0.41</v>
      </c>
      <c r="I17" s="12" t="n">
        <v>2.18</v>
      </c>
      <c r="J17" s="12" t="n">
        <v>2.48</v>
      </c>
      <c r="K17" s="12" t="n">
        <v>5.24</v>
      </c>
      <c r="L17" s="12" t="n">
        <v>7.36</v>
      </c>
      <c r="M17" s="12" t="n">
        <v>7.36</v>
      </c>
      <c r="N17" s="12" t="n">
        <v>7.36</v>
      </c>
      <c r="O17" s="12" t="n">
        <v>10.13</v>
      </c>
      <c r="P17" s="12" t="n">
        <v>1.76</v>
      </c>
      <c r="Q17" s="12" t="n">
        <v>0</v>
      </c>
      <c r="R17" s="12" t="n">
        <v>0</v>
      </c>
      <c r="S17" s="12" t="n">
        <v>0</v>
      </c>
      <c r="T17" s="12" t="n">
        <v>0</v>
      </c>
    </row>
    <row r="18">
      <c r="A18" s="8" t="inlineStr">
        <is>
          <t>Wheat byproducts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</row>
    <row r="19">
      <c r="A19" s="5" t="inlineStr">
        <is>
          <t>unc.bmp</t>
        </is>
      </c>
      <c r="B19" t="b">
        <v>1</v>
      </c>
      <c r="C19" t="b">
        <v>0</v>
      </c>
      <c r="D19" t="b">
        <v>0</v>
      </c>
      <c r="E19" t="b">
        <v>1</v>
      </c>
      <c r="F19" t="b">
        <v>1</v>
      </c>
      <c r="G19" t="b">
        <v>1</v>
      </c>
      <c r="H19" t="b">
        <v>1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</row>
    <row r="20">
      <c r="A20" s="5" t="inlineStr">
        <is>
          <t>unc.price</t>
        </is>
      </c>
      <c r="B20" t="b">
        <v>1</v>
      </c>
      <c r="C20" t="b">
        <v>0</v>
      </c>
      <c r="D20" t="b">
        <v>1</v>
      </c>
      <c r="E20" t="b">
        <v>0</v>
      </c>
      <c r="F20" t="b">
        <v>1</v>
      </c>
      <c r="G20" t="b">
        <v>1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E15" sqref="E15"/>
    </sheetView>
  </sheetViews>
  <sheetFormatPr baseColWidth="8" defaultRowHeight="14.4"/>
  <sheetData>
    <row r="1">
      <c r="A1" s="10" t="inlineStr">
        <is>
          <t>HRT</t>
        </is>
      </c>
      <c r="B1" t="n">
        <v>20.00000000000001</v>
      </c>
      <c r="C1" t="n">
        <v>20.00000000000001</v>
      </c>
    </row>
    <row r="2">
      <c r="A2" s="11" t="inlineStr">
        <is>
          <t>Gamma_Z</t>
        </is>
      </c>
      <c r="B2" t="inlineStr">
        <is>
          <t>-</t>
        </is>
      </c>
    </row>
    <row r="3">
      <c r="A3" s="11" t="inlineStr">
        <is>
          <t>Gamma_W</t>
        </is>
      </c>
      <c r="B3" t="inlineStr">
        <is>
          <t>-</t>
        </is>
      </c>
    </row>
    <row r="4">
      <c r="A4" s="11" t="inlineStr">
        <is>
          <t>Gamma_L</t>
        </is>
      </c>
      <c r="B4" t="inlineStr">
        <is>
          <t>-</t>
        </is>
      </c>
    </row>
    <row r="5">
      <c r="A5" s="11" t="inlineStr">
        <is>
          <t>Revenue</t>
        </is>
      </c>
      <c r="B5" t="n">
        <v>11825.7094722556</v>
      </c>
      <c r="C5" t="n">
        <v>11825.7094722556</v>
      </c>
    </row>
    <row r="6">
      <c r="A6" s="11" t="inlineStr">
        <is>
          <t>Purchase costs</t>
        </is>
      </c>
      <c r="B6" t="n">
        <v>4024.640837013967</v>
      </c>
      <c r="C6" t="n">
        <v>4024.640837013967</v>
      </c>
    </row>
    <row r="7">
      <c r="A7" s="11" t="inlineStr">
        <is>
          <t>Transportation costs</t>
        </is>
      </c>
      <c r="B7" t="n">
        <v>894.505561581664</v>
      </c>
      <c r="C7" t="n">
        <v>894.505561581664</v>
      </c>
    </row>
    <row r="8">
      <c r="A8" s="11" t="inlineStr">
        <is>
          <t>J</t>
        </is>
      </c>
      <c r="B8" t="n">
        <v>6906.563073659967</v>
      </c>
      <c r="C8" t="n">
        <v>6906.563073659967</v>
      </c>
    </row>
    <row r="9">
      <c r="A9" s="5" t="inlineStr">
        <is>
          <t>Barley silage</t>
        </is>
      </c>
      <c r="B9" t="n">
        <v>4.03</v>
      </c>
      <c r="C9" t="n">
        <v>4.03</v>
      </c>
    </row>
    <row r="10">
      <c r="A10" s="5" t="inlineStr">
        <is>
          <t>Chicken dung</t>
        </is>
      </c>
      <c r="B10" t="n">
        <v>0</v>
      </c>
      <c r="C10" t="n">
        <v>0</v>
      </c>
    </row>
    <row r="11">
      <c r="A11" s="5" t="inlineStr">
        <is>
          <t>Cow dung</t>
        </is>
      </c>
      <c r="B11" t="n">
        <v>1.78</v>
      </c>
      <c r="C11" t="n">
        <v>1.78</v>
      </c>
    </row>
    <row r="12">
      <c r="A12" s="5" t="inlineStr">
        <is>
          <t>Cow slurry</t>
        </is>
      </c>
      <c r="B12" t="n">
        <v>74.19</v>
      </c>
      <c r="C12" t="n">
        <v>74.19</v>
      </c>
    </row>
    <row r="13">
      <c r="A13" s="5" t="inlineStr">
        <is>
          <t>Maize silage</t>
        </is>
      </c>
      <c r="B13" t="n">
        <v>20</v>
      </c>
      <c r="C13" t="n">
        <v>20</v>
      </c>
    </row>
    <row r="14">
      <c r="A14" s="5" t="inlineStr">
        <is>
          <t>Pig slurry</t>
        </is>
      </c>
      <c r="B14" t="n">
        <v>0</v>
      </c>
      <c r="C14" t="n">
        <v>0</v>
      </c>
    </row>
    <row r="15">
      <c r="A15" s="5" t="inlineStr">
        <is>
          <t>Sorghum silage</t>
        </is>
      </c>
      <c r="B15" t="n">
        <v>0</v>
      </c>
      <c r="C15" t="n">
        <v>0</v>
      </c>
    </row>
    <row r="16">
      <c r="A16" s="5" t="inlineStr">
        <is>
          <t>Tomato peels</t>
        </is>
      </c>
      <c r="B16" t="n">
        <v>0</v>
      </c>
      <c r="C16" t="n">
        <v>0</v>
      </c>
    </row>
    <row r="17">
      <c r="A17" s="5" t="inlineStr">
        <is>
          <t>Triticale silage</t>
        </is>
      </c>
      <c r="B17" t="n">
        <v>0</v>
      </c>
      <c r="C17" t="n">
        <v>0</v>
      </c>
    </row>
    <row r="18">
      <c r="A18" s="8" t="inlineStr">
        <is>
          <t>Wheat byproducts</t>
        </is>
      </c>
      <c r="B18" t="n">
        <v>0</v>
      </c>
      <c r="C18" t="n">
        <v>0</v>
      </c>
    </row>
    <row r="19">
      <c r="A19" s="5" t="inlineStr">
        <is>
          <t>unc.bmp</t>
        </is>
      </c>
    </row>
    <row r="20">
      <c r="A20" s="5" t="inlineStr">
        <is>
          <t>unc.price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1"/>
  <sheetViews>
    <sheetView tabSelected="1" workbookViewId="0">
      <selection activeCell="G1" sqref="G1:G1048576"/>
    </sheetView>
  </sheetViews>
  <sheetFormatPr baseColWidth="8" defaultRowHeight="14.4"/>
  <cols>
    <col width="11" bestFit="1" customWidth="1" min="5" max="6"/>
  </cols>
  <sheetData>
    <row r="1">
      <c r="A1" s="10" t="inlineStr">
        <is>
          <t>HRT</t>
        </is>
      </c>
      <c r="B1" t="n">
        <v>40</v>
      </c>
      <c r="C1" t="n">
        <v>30</v>
      </c>
      <c r="D1" t="n">
        <v>24.99999999999999</v>
      </c>
      <c r="E1" t="n">
        <v>20</v>
      </c>
      <c r="F1" t="n">
        <v>19</v>
      </c>
      <c r="G1" t="n">
        <v>49.99999999999999</v>
      </c>
      <c r="H1" t="n">
        <v>45</v>
      </c>
      <c r="I1" t="n">
        <v>33</v>
      </c>
      <c r="J1" t="n">
        <v>28</v>
      </c>
      <c r="K1" t="n">
        <v>23</v>
      </c>
      <c r="L1" t="n">
        <v>35</v>
      </c>
      <c r="M1" t="n">
        <v>36</v>
      </c>
      <c r="N1" t="n">
        <v>37.00000000000001</v>
      </c>
      <c r="O1" t="n">
        <v>38</v>
      </c>
      <c r="P1" t="n">
        <v>39.00000000000001</v>
      </c>
      <c r="Q1" t="n">
        <v>20</v>
      </c>
      <c r="R1" t="n">
        <v>20</v>
      </c>
      <c r="S1" t="n">
        <v>20</v>
      </c>
      <c r="T1" t="n">
        <v>20</v>
      </c>
      <c r="U1" t="n">
        <v>20</v>
      </c>
      <c r="V1" t="n">
        <v>20</v>
      </c>
      <c r="W1" t="n">
        <v>20</v>
      </c>
    </row>
    <row r="2">
      <c r="A2" s="11" t="inlineStr">
        <is>
          <t>Gamma_Z</t>
        </is>
      </c>
      <c r="Q2" t="n">
        <v>11243.39616320028</v>
      </c>
      <c r="R2" t="n">
        <v>11243.39616320028</v>
      </c>
      <c r="S2" t="n">
        <v>11243.39616320028</v>
      </c>
      <c r="T2" t="n">
        <v>11243.39616320028</v>
      </c>
      <c r="U2" t="n">
        <v>11243.39616320028</v>
      </c>
      <c r="V2" t="n">
        <v>11243.39616320028</v>
      </c>
      <c r="W2" t="n">
        <v>11243.39616320028</v>
      </c>
    </row>
    <row r="3">
      <c r="A3" s="11" t="inlineStr">
        <is>
          <t>Gamma_W</t>
        </is>
      </c>
      <c r="Q3" t="n">
        <v>4290.294975351399</v>
      </c>
      <c r="R3" t="n">
        <v>4290.294975351399</v>
      </c>
      <c r="S3" t="n">
        <v>4290.294975351399</v>
      </c>
      <c r="T3" t="n">
        <v>4290.294975351399</v>
      </c>
      <c r="U3" t="n">
        <v>4290.294975351399</v>
      </c>
      <c r="V3" t="n">
        <v>4290.294975351399</v>
      </c>
      <c r="W3" t="n">
        <v>4290.294975351399</v>
      </c>
    </row>
    <row r="4">
      <c r="A4" s="11" t="inlineStr">
        <is>
          <t>Gamma_L</t>
        </is>
      </c>
      <c r="Q4" t="n">
        <v>892.1450029925616</v>
      </c>
      <c r="R4" t="n">
        <v>892.1450029925616</v>
      </c>
      <c r="S4" t="n">
        <v>892.1450029925616</v>
      </c>
      <c r="T4" t="n">
        <v>892.1450029925616</v>
      </c>
      <c r="U4" t="n">
        <v>892.1450029925616</v>
      </c>
      <c r="V4" t="n">
        <v>892.1450029925616</v>
      </c>
      <c r="W4" t="n">
        <v>892.1450029925616</v>
      </c>
    </row>
    <row r="5">
      <c r="A5" s="11" t="inlineStr">
        <is>
          <t>Revenue</t>
        </is>
      </c>
      <c r="B5" t="n">
        <v>5713.551131097018</v>
      </c>
      <c r="C5" t="n">
        <v>7741.691449796736</v>
      </c>
      <c r="D5" t="n">
        <v>9198.468127946238</v>
      </c>
      <c r="E5" t="n">
        <v>11243.39616320016</v>
      </c>
      <c r="F5" t="n">
        <v>11771.82250934933</v>
      </c>
      <c r="G5" t="n">
        <v>4593.358647314993</v>
      </c>
      <c r="H5" t="n">
        <v>5095.785598525872</v>
      </c>
      <c r="I5" t="n">
        <v>7062.422428651043</v>
      </c>
      <c r="J5" t="n">
        <v>8268.050361096442</v>
      </c>
      <c r="K5" t="n">
        <v>9936.028463668945</v>
      </c>
      <c r="L5" t="n">
        <v>6669.76767008384</v>
      </c>
      <c r="M5" t="n">
        <v>6447.974108374165</v>
      </c>
      <c r="N5" t="n">
        <v>6280.215960519281</v>
      </c>
      <c r="O5" t="n">
        <v>6120.580584261471</v>
      </c>
      <c r="P5" t="n">
        <v>5966.242803112214</v>
      </c>
      <c r="Q5" t="n">
        <v>6060.956184856321</v>
      </c>
      <c r="R5" t="n">
        <v>6060.956184856321</v>
      </c>
      <c r="S5" t="n">
        <v>6060.956184856321</v>
      </c>
      <c r="T5" t="n">
        <v>6060.956184856321</v>
      </c>
      <c r="U5" t="n">
        <v>6060.956184856321</v>
      </c>
      <c r="V5" t="n">
        <v>6060.956184856321</v>
      </c>
      <c r="W5" t="n">
        <v>6060.956184856321</v>
      </c>
    </row>
    <row r="6">
      <c r="A6" s="11" t="inlineStr">
        <is>
          <t>Purchase costs</t>
        </is>
      </c>
      <c r="B6" t="n">
        <v>1975.163920540127</v>
      </c>
      <c r="C6" t="n">
        <v>2854.135444544951</v>
      </c>
      <c r="D6" t="n">
        <v>3439.586475544541</v>
      </c>
      <c r="E6" t="n">
        <v>4290.294975351398</v>
      </c>
      <c r="F6" t="n">
        <v>4523.613124937323</v>
      </c>
      <c r="G6" t="n">
        <v>1565.268537245359</v>
      </c>
      <c r="H6" t="n">
        <v>1747.444263154145</v>
      </c>
      <c r="I6" t="n">
        <v>2588.021339545137</v>
      </c>
      <c r="J6" t="n">
        <v>3063.225098473375</v>
      </c>
      <c r="K6" t="n">
        <v>3744.656260802426</v>
      </c>
      <c r="L6" t="n">
        <v>2435.9561366881</v>
      </c>
      <c r="M6" t="n">
        <v>2322.948790604622</v>
      </c>
      <c r="N6" t="n">
        <v>2259.721879094868</v>
      </c>
      <c r="O6" t="n">
        <v>2199.822699769837</v>
      </c>
      <c r="P6" t="n">
        <v>2140.709987565955</v>
      </c>
      <c r="Q6" t="n">
        <v>5.24</v>
      </c>
      <c r="R6" t="n">
        <v>5.24</v>
      </c>
      <c r="S6" t="n">
        <v>5.24</v>
      </c>
      <c r="T6" t="n">
        <v>5.24</v>
      </c>
      <c r="U6" t="n">
        <v>5.24</v>
      </c>
      <c r="V6" t="n">
        <v>5.24</v>
      </c>
      <c r="W6" t="n">
        <v>5.24</v>
      </c>
    </row>
    <row r="7">
      <c r="A7" s="11" t="inlineStr">
        <is>
          <t>Transportation costs</t>
        </is>
      </c>
      <c r="B7" t="n">
        <v>442.0616250696227</v>
      </c>
      <c r="C7" t="n">
        <v>588.8869830857568</v>
      </c>
      <c r="D7" t="n">
        <v>711.5177969200503</v>
      </c>
      <c r="E7" t="n">
        <v>892.1450029925613</v>
      </c>
      <c r="F7" t="n">
        <v>943.5994744565342</v>
      </c>
      <c r="G7" t="n">
        <v>352.267289016456</v>
      </c>
      <c r="H7" t="n">
        <v>392.166165456003</v>
      </c>
      <c r="I7" t="n">
        <v>534.2024219508731</v>
      </c>
      <c r="J7" t="n">
        <v>632.4372152505882</v>
      </c>
      <c r="K7" t="n">
        <v>775.8697957570924</v>
      </c>
      <c r="L7" t="n">
        <v>503.000190750336</v>
      </c>
      <c r="M7" t="n">
        <v>490.0192327573039</v>
      </c>
      <c r="N7" t="n">
        <v>476.4088765493992</v>
      </c>
      <c r="O7" t="n">
        <v>463.5148548787527</v>
      </c>
      <c r="P7" t="n">
        <v>451.2755415371635</v>
      </c>
      <c r="Q7" t="n">
        <v>0.04</v>
      </c>
      <c r="R7" t="n">
        <v>0.04</v>
      </c>
      <c r="S7" t="n">
        <v>0.04</v>
      </c>
      <c r="T7" t="n">
        <v>0.04</v>
      </c>
      <c r="U7" t="n">
        <v>0.04</v>
      </c>
      <c r="V7" t="n">
        <v>0.04</v>
      </c>
      <c r="W7" t="n">
        <v>0.04</v>
      </c>
    </row>
    <row r="8">
      <c r="A8" s="11" t="inlineStr">
        <is>
          <t>J</t>
        </is>
      </c>
      <c r="B8" t="n">
        <v>3296.325585487268</v>
      </c>
      <c r="C8" t="n">
        <v>4298.669022166028</v>
      </c>
      <c r="D8" t="n">
        <v>5047.363855481647</v>
      </c>
      <c r="E8" t="n">
        <v>6060.956184856204</v>
      </c>
      <c r="F8" t="n">
        <v>6304.609909955473</v>
      </c>
      <c r="G8" t="n">
        <v>2675.822821053178</v>
      </c>
      <c r="H8" t="n">
        <v>2956.175169915724</v>
      </c>
      <c r="I8" t="n">
        <v>3940.198667155033</v>
      </c>
      <c r="J8" t="n">
        <v>4572.38804737248</v>
      </c>
      <c r="K8" t="n">
        <v>5415.502407109429</v>
      </c>
      <c r="L8" t="n">
        <v>3730.81</v>
      </c>
      <c r="M8" t="n">
        <v>3635.006085012238</v>
      </c>
      <c r="N8" t="n">
        <v>3544.085204875014</v>
      </c>
      <c r="O8" t="n">
        <v>3457.243029612882</v>
      </c>
      <c r="P8" t="n">
        <v>3374.257274009096</v>
      </c>
      <c r="Q8" t="n">
        <v>1.78</v>
      </c>
      <c r="R8" t="n">
        <v>1.78</v>
      </c>
      <c r="S8" t="n">
        <v>1.78</v>
      </c>
      <c r="T8" t="n">
        <v>1.78</v>
      </c>
      <c r="U8" t="n">
        <v>1.78</v>
      </c>
      <c r="V8" t="n">
        <v>1.78</v>
      </c>
      <c r="W8" t="n">
        <v>1.78</v>
      </c>
    </row>
    <row r="9">
      <c r="A9" s="5" t="inlineStr">
        <is>
          <t>Barley silage</t>
        </is>
      </c>
      <c r="B9" t="n">
        <v>2.86</v>
      </c>
      <c r="C9" t="n">
        <v>7.35</v>
      </c>
      <c r="D9" t="n">
        <v>7.37</v>
      </c>
      <c r="E9" t="n">
        <v>5.24</v>
      </c>
      <c r="F9" t="n">
        <v>5.48</v>
      </c>
      <c r="G9" t="n">
        <v>2.28</v>
      </c>
      <c r="H9" t="n">
        <v>2.57</v>
      </c>
      <c r="I9" t="n">
        <v>7.34</v>
      </c>
      <c r="J9" t="n">
        <v>7.36</v>
      </c>
      <c r="K9" t="n">
        <v>7.33</v>
      </c>
      <c r="L9" t="n">
        <v>7.34</v>
      </c>
      <c r="M9" t="n">
        <v>7.29</v>
      </c>
      <c r="N9" t="n">
        <v>7.29</v>
      </c>
      <c r="O9" t="n">
        <v>7.29</v>
      </c>
      <c r="P9" t="n">
        <v>7.2</v>
      </c>
      <c r="Q9" t="n">
        <v>3.08</v>
      </c>
      <c r="R9" t="n">
        <v>3.08</v>
      </c>
      <c r="S9" t="n">
        <v>3.08</v>
      </c>
      <c r="T9" t="n">
        <v>3.08</v>
      </c>
      <c r="U9" t="n">
        <v>3.08</v>
      </c>
      <c r="V9" t="n">
        <v>3.08</v>
      </c>
      <c r="W9" t="n">
        <v>3.08</v>
      </c>
    </row>
    <row r="10">
      <c r="A10" s="5" t="inlineStr">
        <is>
          <t>Chicken dung</t>
        </is>
      </c>
      <c r="B10" t="n">
        <v>0</v>
      </c>
      <c r="C10" t="n">
        <v>0</v>
      </c>
      <c r="D10" t="n">
        <v>0</v>
      </c>
      <c r="E10" t="n">
        <v>0.04</v>
      </c>
      <c r="F10" t="n">
        <v>0.11</v>
      </c>
      <c r="G10" t="n">
        <v>0</v>
      </c>
      <c r="H10" t="n">
        <v>0</v>
      </c>
      <c r="I10" t="n">
        <v>0</v>
      </c>
      <c r="J10" t="n">
        <v>0</v>
      </c>
      <c r="K10" t="n">
        <v>0.02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20</v>
      </c>
      <c r="R10" t="n">
        <v>20</v>
      </c>
      <c r="S10" t="n">
        <v>20</v>
      </c>
      <c r="T10" t="n">
        <v>20</v>
      </c>
      <c r="U10" t="n">
        <v>20</v>
      </c>
      <c r="V10" t="n">
        <v>20</v>
      </c>
      <c r="W10" t="n">
        <v>20</v>
      </c>
    </row>
    <row r="11">
      <c r="A11" s="5" t="inlineStr">
        <is>
          <t>Cow dung</t>
        </is>
      </c>
      <c r="B11" t="n">
        <v>3.55</v>
      </c>
      <c r="C11" t="n">
        <v>2.67</v>
      </c>
      <c r="D11" t="n">
        <v>2.22</v>
      </c>
      <c r="E11" t="n">
        <v>1.78</v>
      </c>
      <c r="F11" t="n">
        <v>1.69</v>
      </c>
      <c r="G11" t="n">
        <v>4.44</v>
      </c>
      <c r="H11" t="n">
        <v>4</v>
      </c>
      <c r="I11" t="n">
        <v>2.93</v>
      </c>
      <c r="J11" t="n">
        <v>2.49</v>
      </c>
      <c r="K11" t="n">
        <v>2.04</v>
      </c>
      <c r="L11" t="n">
        <v>3.11</v>
      </c>
      <c r="M11" t="n">
        <v>3.2</v>
      </c>
      <c r="N11" t="n">
        <v>3.29</v>
      </c>
      <c r="O11" t="n">
        <v>3.38</v>
      </c>
      <c r="P11" t="n">
        <v>3.47</v>
      </c>
      <c r="Q11" t="n">
        <v>65.11</v>
      </c>
      <c r="R11" t="n">
        <v>65.11</v>
      </c>
      <c r="S11" t="n">
        <v>65.11</v>
      </c>
      <c r="T11" t="n">
        <v>65.11</v>
      </c>
      <c r="U11" t="n">
        <v>65.11</v>
      </c>
      <c r="V11" t="n">
        <v>65.11</v>
      </c>
      <c r="W11" t="n">
        <v>65.11</v>
      </c>
    </row>
    <row r="12">
      <c r="A12" s="5" t="inlineStr">
        <is>
          <t>Cow slurry</t>
        </is>
      </c>
      <c r="B12" t="n">
        <v>73.58</v>
      </c>
      <c r="C12" t="n">
        <v>4.61</v>
      </c>
      <c r="D12" t="n">
        <v>3.84</v>
      </c>
      <c r="E12" t="n">
        <v>3.08</v>
      </c>
      <c r="F12" t="n">
        <v>2.92</v>
      </c>
      <c r="G12" t="n">
        <v>73.28</v>
      </c>
      <c r="H12" t="n">
        <v>73.43000000000001</v>
      </c>
      <c r="I12" t="n">
        <v>5.08</v>
      </c>
      <c r="J12" t="n">
        <v>4.31</v>
      </c>
      <c r="K12" t="n">
        <v>3.54</v>
      </c>
      <c r="L12" t="n">
        <v>5.38</v>
      </c>
      <c r="M12" t="n">
        <v>27.59</v>
      </c>
      <c r="N12" t="n">
        <v>26.94</v>
      </c>
      <c r="O12" t="n">
        <v>26.3</v>
      </c>
      <c r="P12" t="n">
        <v>26.6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</row>
    <row r="13">
      <c r="A13" s="5" t="inlineStr">
        <is>
          <t>Maize silage</t>
        </is>
      </c>
      <c r="B13" t="n">
        <v>20</v>
      </c>
      <c r="C13" t="n">
        <v>20</v>
      </c>
      <c r="D13" t="n">
        <v>20</v>
      </c>
      <c r="E13" t="n">
        <v>20</v>
      </c>
      <c r="F13" t="n">
        <v>20</v>
      </c>
      <c r="G13" t="n">
        <v>20</v>
      </c>
      <c r="H13" t="n">
        <v>20</v>
      </c>
      <c r="I13" t="n">
        <v>20</v>
      </c>
      <c r="J13" t="n">
        <v>20</v>
      </c>
      <c r="K13" t="n">
        <v>20</v>
      </c>
      <c r="L13" t="n">
        <v>20</v>
      </c>
      <c r="M13" t="n">
        <v>20</v>
      </c>
      <c r="N13" t="n">
        <v>20</v>
      </c>
      <c r="O13" t="n">
        <v>20</v>
      </c>
      <c r="P13" t="n">
        <v>20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</row>
    <row r="14">
      <c r="A14" s="5" t="inlineStr">
        <is>
          <t>Pig slurry</t>
        </is>
      </c>
      <c r="B14" t="n">
        <v>0</v>
      </c>
      <c r="C14" t="n">
        <v>63.17</v>
      </c>
      <c r="D14" t="n">
        <v>64.04000000000001</v>
      </c>
      <c r="E14" t="n">
        <v>65.11</v>
      </c>
      <c r="F14" t="n">
        <v>65.27</v>
      </c>
      <c r="G14" t="n">
        <v>0</v>
      </c>
      <c r="H14" t="n">
        <v>0</v>
      </c>
      <c r="I14" t="n">
        <v>62.65</v>
      </c>
      <c r="J14" t="n">
        <v>63.52</v>
      </c>
      <c r="K14" t="n">
        <v>64.40000000000001</v>
      </c>
      <c r="L14" t="n">
        <v>62.31</v>
      </c>
      <c r="M14" t="n">
        <v>41.92</v>
      </c>
      <c r="N14" t="n">
        <v>42.48</v>
      </c>
      <c r="O14" t="n">
        <v>43.04</v>
      </c>
      <c r="P14" t="n">
        <v>42.73</v>
      </c>
      <c r="Q14" t="n">
        <v>4.76</v>
      </c>
      <c r="R14" t="n">
        <v>4.76</v>
      </c>
      <c r="S14" t="n">
        <v>4.76</v>
      </c>
      <c r="T14" t="n">
        <v>4.76</v>
      </c>
      <c r="U14" t="n">
        <v>4.76</v>
      </c>
      <c r="V14" t="n">
        <v>4.76</v>
      </c>
      <c r="W14" t="n">
        <v>4.76</v>
      </c>
    </row>
    <row r="15">
      <c r="A15" s="5" t="inlineStr">
        <is>
          <t>Sorghum silage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</row>
    <row r="16">
      <c r="A16" s="5" t="inlineStr">
        <is>
          <t>Tomato peels</t>
        </is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</row>
    <row r="17">
      <c r="A17" s="5" t="inlineStr">
        <is>
          <t>Triticale silage</t>
        </is>
      </c>
      <c r="B17" t="n">
        <v>0</v>
      </c>
      <c r="C17" t="n">
        <v>2.19</v>
      </c>
      <c r="D17" t="n">
        <v>2.52</v>
      </c>
      <c r="E17" t="n">
        <v>4.76</v>
      </c>
      <c r="F17" t="n">
        <v>4.52</v>
      </c>
      <c r="G17" t="n">
        <v>0</v>
      </c>
      <c r="H17" t="n">
        <v>0</v>
      </c>
      <c r="I17" t="n">
        <v>2</v>
      </c>
      <c r="J17" t="n">
        <v>2.32</v>
      </c>
      <c r="K17" t="n">
        <v>2.67</v>
      </c>
      <c r="L17" t="n">
        <v>1.87</v>
      </c>
      <c r="M17" t="n">
        <v>0</v>
      </c>
      <c r="N17" t="n">
        <v>0</v>
      </c>
      <c r="O17" t="n">
        <v>0</v>
      </c>
      <c r="P17" t="n">
        <v>0</v>
      </c>
    </row>
    <row r="18">
      <c r="A18" s="8" t="inlineStr">
        <is>
          <t>Wheat byproducts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s="5" t="inlineStr">
        <is>
          <t>unc.bmp</t>
        </is>
      </c>
    </row>
    <row r="20">
      <c r="A20" s="5" t="inlineStr">
        <is>
          <t>unc.price</t>
        </is>
      </c>
    </row>
    <row r="21">
      <c r="B21">
        <f>B7/(B7+B6)</f>
        <v/>
      </c>
      <c r="C21">
        <f>C7/(C7+C6)</f>
        <v/>
      </c>
      <c r="D21">
        <f>D7/(D7+D6)</f>
        <v/>
      </c>
      <c r="E21">
        <f>E7/(E7+E6)</f>
        <v/>
      </c>
      <c r="F21">
        <f>F7/(F7+F6)</f>
        <v/>
      </c>
      <c r="G21">
        <f>G7/(G7+G6)</f>
        <v/>
      </c>
      <c r="H21">
        <f>H7/(H7+H6)</f>
        <v/>
      </c>
      <c r="I21">
        <f>I7/(I7+I6)</f>
        <v/>
      </c>
      <c r="J21">
        <f>J7/(J7+J6)</f>
        <v/>
      </c>
      <c r="K21">
        <f>K7/(K7+K6)</f>
        <v/>
      </c>
      <c r="L21">
        <f>L7/(L7+L6)</f>
        <v/>
      </c>
      <c r="M21">
        <f>M7/(M7+M6)</f>
        <v/>
      </c>
      <c r="N21">
        <f>N7/(N7+N6)</f>
        <v/>
      </c>
      <c r="O21">
        <f>O7/(O7+O6)</f>
        <v/>
      </c>
      <c r="P21">
        <f>P7/(P7+P6)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27"/>
  <sheetViews>
    <sheetView zoomScale="85" zoomScaleNormal="85" workbookViewId="0">
      <selection activeCell="AE25" sqref="AE25"/>
    </sheetView>
  </sheetViews>
  <sheetFormatPr baseColWidth="8" defaultRowHeight="14.4"/>
  <cols>
    <col width="19.109375" bestFit="1" customWidth="1" min="1" max="1"/>
    <col width="10" bestFit="1" customWidth="1" min="9" max="9"/>
    <col width="9.6640625" bestFit="1" customWidth="1" min="18" max="26"/>
    <col width="10.6640625" bestFit="1" customWidth="1" min="27" max="27"/>
    <col width="14.5546875" bestFit="1" customWidth="1" min="28" max="28"/>
    <col width="9.6640625" bestFit="1" customWidth="1" min="29" max="32"/>
  </cols>
  <sheetData>
    <row r="1">
      <c r="A1" s="10" t="inlineStr">
        <is>
          <t>HRT</t>
        </is>
      </c>
      <c r="B1" t="n">
        <v>50</v>
      </c>
      <c r="C1" t="n">
        <v>49.99999999999999</v>
      </c>
      <c r="D1" t="n">
        <v>50</v>
      </c>
      <c r="E1" t="n">
        <v>50</v>
      </c>
      <c r="F1" t="n">
        <v>20</v>
      </c>
      <c r="G1" t="n">
        <v>20</v>
      </c>
      <c r="H1" t="n">
        <v>20</v>
      </c>
      <c r="I1" t="n">
        <v>20</v>
      </c>
      <c r="J1" t="n">
        <v>23</v>
      </c>
      <c r="K1" t="n">
        <v>25</v>
      </c>
      <c r="L1" t="n">
        <v>28</v>
      </c>
      <c r="M1" t="n">
        <v>30</v>
      </c>
      <c r="N1" t="n">
        <v>33</v>
      </c>
      <c r="O1" t="n">
        <v>35.00000000000001</v>
      </c>
      <c r="P1" t="n">
        <v>40</v>
      </c>
      <c r="Q1" t="n">
        <v>45</v>
      </c>
      <c r="R1" t="n">
        <v>20.00000000000001</v>
      </c>
      <c r="S1" t="n">
        <v>20.00000000000001</v>
      </c>
      <c r="T1" t="n">
        <v>20.00000000000001</v>
      </c>
      <c r="U1" t="n">
        <v>20.00000000000001</v>
      </c>
      <c r="V1" t="n">
        <v>20</v>
      </c>
      <c r="W1" t="n">
        <v>20</v>
      </c>
      <c r="X1" t="n">
        <v>20.00000000000001</v>
      </c>
      <c r="Y1" t="n">
        <v>20</v>
      </c>
      <c r="Z1" t="n">
        <v>20</v>
      </c>
      <c r="AA1" t="n">
        <v>20.00000000000001</v>
      </c>
      <c r="AB1" t="n">
        <v>20</v>
      </c>
      <c r="AC1" t="n">
        <v>20</v>
      </c>
      <c r="AD1" t="n">
        <v>50</v>
      </c>
      <c r="AE1" t="n">
        <v>50</v>
      </c>
      <c r="AF1" t="n">
        <v>50</v>
      </c>
      <c r="AG1" t="n">
        <v>50</v>
      </c>
      <c r="AH1" t="n">
        <v>7.155556254155416</v>
      </c>
    </row>
    <row r="2">
      <c r="A2" s="11" t="inlineStr">
        <is>
          <t>Gamma_Z</t>
        </is>
      </c>
      <c r="B2" s="14" t="n">
        <v>7.155556</v>
      </c>
      <c r="C2" s="14" t="n">
        <v>7.155556</v>
      </c>
      <c r="D2" s="14" t="n">
        <v>7.155556</v>
      </c>
      <c r="E2" s="14" t="n">
        <v>7.155556</v>
      </c>
      <c r="F2" s="14" t="n">
        <v>7.155556</v>
      </c>
      <c r="G2" s="14" t="n">
        <v>7.155556</v>
      </c>
      <c r="H2" s="14" t="n">
        <v>7.155556</v>
      </c>
      <c r="I2" s="14" t="n">
        <v>7.155556</v>
      </c>
      <c r="J2" s="14" t="n">
        <v>7.155556</v>
      </c>
      <c r="K2" s="14" t="n">
        <v>7.155556</v>
      </c>
      <c r="L2" s="14" t="n">
        <v>7.155556</v>
      </c>
      <c r="M2" s="14" t="n">
        <v>7.155556</v>
      </c>
      <c r="N2" s="14" t="n">
        <v>7.155556</v>
      </c>
      <c r="O2" s="14" t="n">
        <v>7.155556</v>
      </c>
      <c r="P2" s="14" t="n">
        <v>7.155556</v>
      </c>
      <c r="Q2" s="14" t="n">
        <v>7.155556</v>
      </c>
      <c r="R2" s="14" t="n">
        <v>7.155556254155416</v>
      </c>
      <c r="S2" s="14" t="n">
        <v>6.502527428523132</v>
      </c>
      <c r="T2" s="14" t="n">
        <v>6.502527428523132</v>
      </c>
      <c r="U2" s="14" t="n">
        <v>6.317525729689116</v>
      </c>
      <c r="V2" s="14" t="n">
        <v>6.317525729689116</v>
      </c>
      <c r="W2" s="14" t="n">
        <v>5.152912050461893</v>
      </c>
      <c r="X2" s="14" t="n">
        <v>5.152912050461893</v>
      </c>
      <c r="Y2" s="14" t="n">
        <v>4.65705505963053</v>
      </c>
      <c r="Z2" s="14" t="n">
        <v>4.65705505963053</v>
      </c>
      <c r="AA2" s="14" t="n">
        <v>4.65705505963053</v>
      </c>
      <c r="AB2" s="14" t="n">
        <v>7.155556254155416</v>
      </c>
      <c r="AC2" s="14" t="n">
        <v>4.65705505963053</v>
      </c>
      <c r="AD2" s="14" t="n">
        <v>7.155556254155416</v>
      </c>
      <c r="AE2" s="14" t="n">
        <v>6.317525729689116</v>
      </c>
      <c r="AF2" s="14" t="n">
        <v>4.65705505963053</v>
      </c>
      <c r="AG2" s="14" t="n">
        <v>4.65705505963053</v>
      </c>
      <c r="AH2" t="n">
        <v>5.400348214155618</v>
      </c>
    </row>
    <row r="3">
      <c r="A3" s="11" t="inlineStr">
        <is>
          <t>Gamma_W</t>
        </is>
      </c>
      <c r="B3" s="14" t="n">
        <v>5.400348</v>
      </c>
      <c r="C3" s="14" t="n">
        <v>5.400348</v>
      </c>
      <c r="D3" s="14" t="n">
        <v>5.400348</v>
      </c>
      <c r="E3" s="14" t="n">
        <v>5.400348</v>
      </c>
      <c r="F3" s="14" t="n">
        <v>5.400348</v>
      </c>
      <c r="G3" s="14" t="n">
        <v>5.400348</v>
      </c>
      <c r="H3" s="14" t="n">
        <v>5.400348</v>
      </c>
      <c r="I3" s="14" t="n">
        <v>5.400348</v>
      </c>
      <c r="J3" s="14" t="n">
        <v>5.400348</v>
      </c>
      <c r="K3" s="14" t="n">
        <v>5.400348</v>
      </c>
      <c r="L3" s="14" t="n">
        <v>5.400348</v>
      </c>
      <c r="M3" s="14" t="n">
        <v>5.400348</v>
      </c>
      <c r="N3" s="14" t="n">
        <v>5.400348</v>
      </c>
      <c r="O3" s="14" t="n">
        <v>5.400348</v>
      </c>
      <c r="P3" s="14" t="n">
        <v>5.400348</v>
      </c>
      <c r="Q3" s="14" t="n">
        <v>5.400348</v>
      </c>
      <c r="R3" s="14" t="n">
        <v>5.911735779009457</v>
      </c>
      <c r="S3" s="14" t="n">
        <v>4.71194882579189</v>
      </c>
      <c r="T3" s="14" t="n">
        <v>4.510140835990316</v>
      </c>
      <c r="U3" s="14" t="n">
        <v>4.067213815144893</v>
      </c>
      <c r="V3" s="14" t="n">
        <v>3.659665555746376</v>
      </c>
      <c r="W3" s="14" t="n">
        <v>3.290072925606738</v>
      </c>
      <c r="X3" s="14" t="n">
        <v>3.017668834847021</v>
      </c>
      <c r="Y3" s="14" t="n">
        <v>2.70677617114106</v>
      </c>
      <c r="Z3" s="14" t="n">
        <v>2.218151761886142</v>
      </c>
      <c r="AA3" s="14" t="n">
        <v>2.070141688138833</v>
      </c>
      <c r="AB3" s="14" t="n">
        <v>5.019225290086914</v>
      </c>
      <c r="AC3" s="14" t="n">
        <v>1.804729825901729</v>
      </c>
      <c r="AD3" s="14" t="n">
        <v>5.911735779009457</v>
      </c>
      <c r="AE3" s="14" t="n">
        <v>3.659665555746376</v>
      </c>
      <c r="AF3" s="14" t="n">
        <v>2.070141688138833</v>
      </c>
      <c r="AG3" s="14" t="n">
        <v>1.804729825901729</v>
      </c>
      <c r="AH3" t="n">
        <v>7.740455120409898</v>
      </c>
    </row>
    <row r="4">
      <c r="A4" s="11" t="inlineStr">
        <is>
          <t>Gamma_L</t>
        </is>
      </c>
      <c r="B4" s="14" t="n">
        <v>7.740455</v>
      </c>
      <c r="C4" s="14" t="n">
        <v>7.740455</v>
      </c>
      <c r="D4" s="14" t="n">
        <v>7.740455</v>
      </c>
      <c r="E4" s="14" t="n">
        <v>7.740455</v>
      </c>
      <c r="F4" s="14" t="n">
        <v>7.740455</v>
      </c>
      <c r="G4" s="14" t="n">
        <v>7.740455</v>
      </c>
      <c r="H4" s="14" t="n">
        <v>7.740455</v>
      </c>
      <c r="I4" s="14" t="n">
        <v>7.740455</v>
      </c>
      <c r="J4" s="14" t="n">
        <v>7.740455</v>
      </c>
      <c r="K4" s="14" t="n">
        <v>7.740455</v>
      </c>
      <c r="L4" s="14" t="n">
        <v>7.740455</v>
      </c>
      <c r="M4" s="14" t="n">
        <v>7.740455</v>
      </c>
      <c r="N4" s="14" t="n">
        <v>7.740455</v>
      </c>
      <c r="O4" s="14" t="n">
        <v>7.740455</v>
      </c>
      <c r="P4" s="14" t="n">
        <v>7.740455</v>
      </c>
      <c r="Q4" s="14" t="n">
        <v>7.740455</v>
      </c>
      <c r="R4" s="14" t="n">
        <v>9.597051824376162</v>
      </c>
      <c r="S4" s="14" t="n">
        <v>5.673513747994448</v>
      </c>
      <c r="T4" s="14" t="n">
        <v>4.907082237594834</v>
      </c>
      <c r="U4" s="14" t="n">
        <v>4.280866108334049</v>
      </c>
      <c r="V4" s="14" t="n">
        <v>3.723297411059034</v>
      </c>
      <c r="W4" s="14" t="n">
        <v>3.196327967421337</v>
      </c>
      <c r="X4" s="14" t="n">
        <v>2.670861074405527</v>
      </c>
      <c r="Y4" s="14" t="n">
        <v>2.112550834011858</v>
      </c>
      <c r="Z4" s="14" t="n">
        <v>1.451623337218208</v>
      </c>
      <c r="AA4" s="14" t="n">
        <v>1.012850377771075</v>
      </c>
      <c r="AB4" s="14" t="n">
        <v>6.786140424415112</v>
      </c>
      <c r="AC4" s="14" t="n">
        <v>0.4483377265745435</v>
      </c>
      <c r="AD4" s="14" t="n">
        <v>9.597051824376162</v>
      </c>
      <c r="AE4" s="14" t="n">
        <v>3.723297411059034</v>
      </c>
      <c r="AF4" s="14" t="n">
        <v>1.012850377771075</v>
      </c>
      <c r="AG4" s="14" t="n">
        <v>0.4483377265745435</v>
      </c>
      <c r="AH4" t="n">
        <v>20</v>
      </c>
    </row>
    <row r="5">
      <c r="A5" s="11" t="inlineStr">
        <is>
          <t>Revenue</t>
        </is>
      </c>
      <c r="B5" s="15" t="n">
        <v>4593.358647314994</v>
      </c>
      <c r="C5" s="15" t="n">
        <v>4593.358647314994</v>
      </c>
      <c r="D5" s="15" t="n">
        <v>3873.136869985674</v>
      </c>
      <c r="E5" s="15" t="n">
        <v>3866.73465122923</v>
      </c>
      <c r="F5" s="15" t="n">
        <v>11268.56737256268</v>
      </c>
      <c r="G5" s="15" t="n">
        <v>9440.659861137492</v>
      </c>
      <c r="H5" s="15" t="n">
        <v>11268.56737256268</v>
      </c>
      <c r="I5" s="15" t="n">
        <v>9440.65986113749</v>
      </c>
      <c r="J5" s="15" t="n">
        <v>8266.647717153262</v>
      </c>
      <c r="K5" s="15" t="n">
        <v>7664.078685582508</v>
      </c>
      <c r="L5" s="15" t="n">
        <v>6901.825107144825</v>
      </c>
      <c r="M5" s="15" t="n">
        <v>6468.915736057124</v>
      </c>
      <c r="N5" s="15" t="n">
        <v>5908.342779619456</v>
      </c>
      <c r="O5" s="15" t="n">
        <v>5476.771057200848</v>
      </c>
      <c r="P5" s="15" t="n">
        <v>4816.802944235866</v>
      </c>
      <c r="Q5" s="15" t="n">
        <v>4292.654806455896</v>
      </c>
      <c r="R5" s="15" t="n">
        <v>9440.65986113749</v>
      </c>
      <c r="S5" s="15" t="n">
        <v>9451.100044105438</v>
      </c>
      <c r="T5" s="15" t="n">
        <v>9471.470642583408</v>
      </c>
      <c r="U5" s="15" t="n">
        <v>9495.192506779715</v>
      </c>
      <c r="V5" s="15" t="n">
        <v>9551.269877210005</v>
      </c>
      <c r="W5" s="15" t="n">
        <v>9594.702456991345</v>
      </c>
      <c r="X5" s="15" t="n">
        <v>9640.32742299114</v>
      </c>
      <c r="Y5" s="15" t="n">
        <v>9565.097438627528</v>
      </c>
      <c r="Z5" s="15" t="n">
        <v>9926.811967619678</v>
      </c>
      <c r="AA5" s="15" t="n">
        <v>10122.50048946309</v>
      </c>
      <c r="AB5" s="15" t="n">
        <v>9441.153471478625</v>
      </c>
      <c r="AC5" s="15" t="n">
        <v>10648.59016058209</v>
      </c>
      <c r="AD5" s="15" t="n">
        <v>3866.73465122923</v>
      </c>
      <c r="AE5" s="15" t="n">
        <v>3911.59835143185</v>
      </c>
      <c r="AF5" s="15" t="n">
        <v>4216.548335494039</v>
      </c>
      <c r="AG5" s="15" t="n">
        <v>4473.592113220098</v>
      </c>
      <c r="AH5" t="n">
        <v>9440.659861137596</v>
      </c>
    </row>
    <row r="6">
      <c r="A6" s="11" t="inlineStr">
        <is>
          <t>Purchase costs</t>
        </is>
      </c>
      <c r="B6" s="15" t="n">
        <v>1565.268537245359</v>
      </c>
      <c r="C6" s="15" t="n">
        <v>1935.910134757512</v>
      </c>
      <c r="D6" s="15" t="n">
        <v>1565.268537245359</v>
      </c>
      <c r="E6" s="15" t="n">
        <v>1927.074899584603</v>
      </c>
      <c r="F6" s="15" t="n">
        <v>4312.693450259165</v>
      </c>
      <c r="G6" s="15" t="n">
        <v>4305.013627674614</v>
      </c>
      <c r="H6" s="15" t="n">
        <v>5188.418467426241</v>
      </c>
      <c r="I6" s="15" t="n">
        <v>5180.626975062132</v>
      </c>
      <c r="J6" s="15" t="n">
        <v>4434.981064055155</v>
      </c>
      <c r="K6" s="15" t="n">
        <v>4077.39664264542</v>
      </c>
      <c r="L6" s="15" t="n">
        <v>3636.80155197985</v>
      </c>
      <c r="M6" s="15" t="n">
        <v>3392.026501610092</v>
      </c>
      <c r="N6" s="15" t="n">
        <v>3080.494619321305</v>
      </c>
      <c r="O6" s="15" t="n">
        <v>2790.649919134928</v>
      </c>
      <c r="P6" s="15" t="n">
        <v>2430.826994322293</v>
      </c>
      <c r="Q6" s="15" t="n">
        <v>2150.96471946802</v>
      </c>
      <c r="R6" s="15" t="n">
        <v>5184.496430694666</v>
      </c>
      <c r="S6" s="15" t="n">
        <v>5166.953113848588</v>
      </c>
      <c r="T6" s="15" t="n">
        <v>5164.005487553895</v>
      </c>
      <c r="U6" s="15" t="n">
        <v>5151.032488652072</v>
      </c>
      <c r="V6" s="15" t="n">
        <v>5138.372744568132</v>
      </c>
      <c r="W6" s="15" t="n">
        <v>5099.774139892573</v>
      </c>
      <c r="X6" s="15" t="n">
        <v>5056.645000388613</v>
      </c>
      <c r="Y6" s="15" t="n">
        <v>4785.509691981815</v>
      </c>
      <c r="Z6" s="15" t="n">
        <v>4753.880058570648</v>
      </c>
      <c r="AA6" s="15" t="n">
        <v>4698.720536449028</v>
      </c>
      <c r="AB6" s="15" t="n">
        <v>5178.191469621536</v>
      </c>
      <c r="AC6" s="15" t="n">
        <v>4781.919822076051</v>
      </c>
      <c r="AD6" s="15" t="n">
        <v>1927.074899584603</v>
      </c>
      <c r="AE6" s="15" t="n">
        <v>1896.827519961197</v>
      </c>
      <c r="AF6" s="15" t="n">
        <v>1790.422510109466</v>
      </c>
      <c r="AG6" s="15" t="n">
        <v>1863.867735087701</v>
      </c>
      <c r="AH6" t="n">
        <v>5180.626975062132</v>
      </c>
    </row>
    <row r="7">
      <c r="A7" s="11" t="inlineStr">
        <is>
          <t>Transportation costs</t>
        </is>
      </c>
      <c r="B7" s="15" t="n">
        <v>352.2695062334124</v>
      </c>
      <c r="C7" s="15" t="n">
        <v>352.2695062334124</v>
      </c>
      <c r="D7" s="15" t="n">
        <v>352.2695062334124</v>
      </c>
      <c r="E7" s="15" t="n">
        <v>350.3723284121308</v>
      </c>
      <c r="F7" s="15" t="n">
        <v>898.1106218074993</v>
      </c>
      <c r="G7" s="15" t="n">
        <v>899.0021021203529</v>
      </c>
      <c r="H7" s="15" t="n">
        <v>898.1106218074992</v>
      </c>
      <c r="I7" s="15" t="n">
        <v>899.0021021203529</v>
      </c>
      <c r="J7" s="15" t="n">
        <v>778.3846186935406</v>
      </c>
      <c r="K7" s="15" t="n">
        <v>713.8506894720521</v>
      </c>
      <c r="L7" s="15" t="n">
        <v>634.5758590118093</v>
      </c>
      <c r="M7" s="15" t="n">
        <v>590.8211184704101</v>
      </c>
      <c r="N7" s="15" t="n">
        <v>535.8105233700591</v>
      </c>
      <c r="O7" s="15" t="n">
        <v>504.9406488028161</v>
      </c>
      <c r="P7" s="15" t="n">
        <v>440.3177917296553</v>
      </c>
      <c r="Q7" s="15" t="n">
        <v>390.3480898865861</v>
      </c>
      <c r="R7" s="15" t="n">
        <v>899.0021021203526</v>
      </c>
      <c r="S7" s="15" t="n">
        <v>898.6002874634775</v>
      </c>
      <c r="T7" s="15" t="n">
        <v>898.6613000018327</v>
      </c>
      <c r="U7" s="15" t="n">
        <v>898.8550986120679</v>
      </c>
      <c r="V7" s="15" t="n">
        <v>896.9643980810904</v>
      </c>
      <c r="W7" s="15" t="n">
        <v>897.5695017330451</v>
      </c>
      <c r="X7" s="15" t="n">
        <v>898.428086637621</v>
      </c>
      <c r="Y7" s="15" t="n">
        <v>914.1223749501462</v>
      </c>
      <c r="Z7" s="15" t="n">
        <v>912.0792735694106</v>
      </c>
      <c r="AA7" s="15" t="n">
        <v>916.9550849479792</v>
      </c>
      <c r="AB7" s="15" t="n">
        <v>899.0088914928286</v>
      </c>
      <c r="AC7" s="15" t="n">
        <v>894.4456651145937</v>
      </c>
      <c r="AD7" s="15" t="n">
        <v>350.3723284121308</v>
      </c>
      <c r="AE7" s="15" t="n">
        <v>348.6844440475287</v>
      </c>
      <c r="AF7" s="15" t="n">
        <v>349.1111207313522</v>
      </c>
      <c r="AG7" s="15" t="n">
        <v>350.2837743110498</v>
      </c>
      <c r="AH7" t="n">
        <v>899.002102120353</v>
      </c>
    </row>
    <row r="8">
      <c r="A8" s="11" t="inlineStr">
        <is>
          <t>J</t>
        </is>
      </c>
      <c r="B8" s="15" t="n">
        <v>2675.820603836222</v>
      </c>
      <c r="C8" s="15" t="n">
        <v>2305.179006324069</v>
      </c>
      <c r="D8" s="15" t="n">
        <v>1955.598826506903</v>
      </c>
      <c r="E8" s="15" t="n">
        <v>1589.287423232496</v>
      </c>
      <c r="F8" s="15" t="n">
        <v>6057.763300496014</v>
      </c>
      <c r="G8" s="15" t="n">
        <v>4236.644131342525</v>
      </c>
      <c r="H8" s="15" t="n">
        <v>5182.038283328938</v>
      </c>
      <c r="I8" s="15" t="n">
        <v>3361.030783955005</v>
      </c>
      <c r="J8" s="15" t="n">
        <v>3053.282034404567</v>
      </c>
      <c r="K8" s="15" t="n">
        <v>2872.831353465036</v>
      </c>
      <c r="L8" s="15" t="n">
        <v>2630.447696153165</v>
      </c>
      <c r="M8" s="15" t="n">
        <v>2486.068115976623</v>
      </c>
      <c r="N8" s="15" t="n">
        <v>2292.037636928091</v>
      </c>
      <c r="O8" s="15" t="n">
        <v>2181.180489263104</v>
      </c>
      <c r="P8" s="15" t="n">
        <v>1945.658158183917</v>
      </c>
      <c r="Q8" s="15" t="n">
        <v>1751.34199710129</v>
      </c>
      <c r="R8" s="15" t="n">
        <v>3357.161328322471</v>
      </c>
      <c r="S8" s="15" t="n">
        <v>3385.546642793372</v>
      </c>
      <c r="T8" s="15" t="n">
        <v>3408.803855027681</v>
      </c>
      <c r="U8" s="15" t="n">
        <v>3445.304919515575</v>
      </c>
      <c r="V8" s="15" t="n">
        <v>3515.932734560783</v>
      </c>
      <c r="W8" s="15" t="n">
        <v>3597.358815365727</v>
      </c>
      <c r="X8" s="15" t="n">
        <v>3685.254335964906</v>
      </c>
      <c r="Y8" s="15" t="n">
        <v>3865.465371695567</v>
      </c>
      <c r="Z8" s="15" t="n">
        <v>4260.85263547962</v>
      </c>
      <c r="AA8" s="15" t="n">
        <v>4506.824868066087</v>
      </c>
      <c r="AB8" s="15" t="n">
        <v>3363.95311036426</v>
      </c>
      <c r="AC8" s="15" t="n">
        <v>4972.224673391448</v>
      </c>
      <c r="AD8" s="15" t="n">
        <v>1589.287423232496</v>
      </c>
      <c r="AE8" s="15" t="n">
        <v>1666.086387423125</v>
      </c>
      <c r="AF8" s="15" t="n">
        <v>2077.01470465322</v>
      </c>
      <c r="AG8" s="15" t="n">
        <v>2259.440603821348</v>
      </c>
      <c r="AH8" t="n">
        <v>3361.030783955111</v>
      </c>
    </row>
    <row r="9">
      <c r="A9" s="5" t="inlineStr">
        <is>
          <t>Barley silage</t>
        </is>
      </c>
      <c r="B9" s="12" t="n">
        <v>2.28</v>
      </c>
      <c r="C9" s="12" t="n">
        <v>2.28</v>
      </c>
      <c r="D9" s="12" t="n">
        <v>2.28</v>
      </c>
      <c r="E9" s="12" t="n">
        <v>7.02</v>
      </c>
      <c r="F9" s="12" t="n">
        <v>7.08</v>
      </c>
      <c r="G9" s="12" t="n">
        <v>7.37</v>
      </c>
      <c r="H9" s="12" t="n">
        <v>7.08</v>
      </c>
      <c r="I9" s="12" t="n">
        <v>7.37</v>
      </c>
      <c r="J9" s="12" t="n">
        <v>7.32</v>
      </c>
      <c r="K9" s="12" t="n">
        <v>7.32</v>
      </c>
      <c r="L9" s="12" t="n">
        <v>7.31</v>
      </c>
      <c r="M9" s="12" t="n">
        <v>7.31</v>
      </c>
      <c r="N9" s="12" t="n">
        <v>7.3</v>
      </c>
      <c r="O9" s="12" t="n">
        <v>7.09</v>
      </c>
      <c r="P9" s="12" t="n">
        <v>7.07</v>
      </c>
      <c r="Q9" s="12" t="n">
        <v>7.04</v>
      </c>
      <c r="R9" s="14" t="n">
        <v>7.37</v>
      </c>
      <c r="S9" s="14" t="n">
        <v>7.37</v>
      </c>
      <c r="T9" s="14" t="n">
        <v>7.37</v>
      </c>
      <c r="U9" s="14" t="n">
        <v>7.35</v>
      </c>
      <c r="V9" s="14" t="n">
        <v>6.67</v>
      </c>
      <c r="W9" s="14" t="n">
        <v>6.85</v>
      </c>
      <c r="X9" s="14" t="n">
        <v>7.29</v>
      </c>
      <c r="Y9" s="14" t="n">
        <v>6.97</v>
      </c>
      <c r="Z9" s="14" t="n">
        <v>7.02</v>
      </c>
      <c r="AA9" s="14" t="n">
        <v>6.7</v>
      </c>
      <c r="AB9" s="12" t="n">
        <v>7.37</v>
      </c>
      <c r="AC9" s="14" t="n">
        <v>5.92</v>
      </c>
      <c r="AD9" s="14" t="n">
        <v>7.02</v>
      </c>
      <c r="AE9" s="14" t="n">
        <v>6.92</v>
      </c>
      <c r="AF9" s="14" t="n">
        <v>6.71</v>
      </c>
      <c r="AG9" s="14" t="n">
        <v>5.98</v>
      </c>
      <c r="AH9" t="n">
        <v>7.37</v>
      </c>
    </row>
    <row r="10">
      <c r="A10" s="5" t="inlineStr">
        <is>
          <t>Chicken dung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0.14</v>
      </c>
      <c r="G10" s="12" t="n">
        <v>0</v>
      </c>
      <c r="H10" s="12" t="n">
        <v>0.14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0.17</v>
      </c>
      <c r="W10" s="14" t="n">
        <v>0.22</v>
      </c>
      <c r="X10" s="14" t="n">
        <v>0</v>
      </c>
      <c r="Y10" s="14" t="n">
        <v>0</v>
      </c>
      <c r="Z10" s="14" t="n">
        <v>0</v>
      </c>
      <c r="AA10" s="14" t="n">
        <v>0.14</v>
      </c>
      <c r="AB10" s="12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t="n">
        <v>0</v>
      </c>
    </row>
    <row r="11">
      <c r="A11" s="5" t="inlineStr">
        <is>
          <t>Cow dung</t>
        </is>
      </c>
      <c r="B11" s="12" t="n">
        <v>4.44</v>
      </c>
      <c r="C11" s="12" t="n">
        <v>4.44</v>
      </c>
      <c r="D11" s="12" t="n">
        <v>4.44</v>
      </c>
      <c r="E11" s="12" t="n">
        <v>4.44</v>
      </c>
      <c r="F11" s="12" t="n">
        <v>1.83</v>
      </c>
      <c r="G11" s="12" t="n">
        <v>2.11</v>
      </c>
      <c r="H11" s="12" t="n">
        <v>1.83</v>
      </c>
      <c r="I11" s="12" t="n">
        <v>2.11</v>
      </c>
      <c r="J11" s="12" t="n">
        <v>2.04</v>
      </c>
      <c r="K11" s="12" t="n">
        <v>2.22</v>
      </c>
      <c r="L11" s="12" t="n">
        <v>2.49</v>
      </c>
      <c r="M11" s="12" t="n">
        <v>2.67</v>
      </c>
      <c r="N11" s="12" t="n">
        <v>2.93</v>
      </c>
      <c r="O11" s="12" t="n">
        <v>3.11</v>
      </c>
      <c r="P11" s="12" t="n">
        <v>3.55</v>
      </c>
      <c r="Q11" s="12" t="n">
        <v>4</v>
      </c>
      <c r="R11" s="14" t="n">
        <v>2.11</v>
      </c>
      <c r="S11" s="14" t="n">
        <v>2.21</v>
      </c>
      <c r="T11" s="14" t="n">
        <v>2.14</v>
      </c>
      <c r="U11" s="14" t="n">
        <v>2.19</v>
      </c>
      <c r="V11" s="14" t="n">
        <v>1.78</v>
      </c>
      <c r="W11" s="14" t="n">
        <v>1.78</v>
      </c>
      <c r="X11" s="14" t="n">
        <v>2.19</v>
      </c>
      <c r="Y11" s="14" t="n">
        <v>3.09</v>
      </c>
      <c r="Z11" s="14" t="n">
        <v>2.28</v>
      </c>
      <c r="AA11" s="14" t="n">
        <v>1.78</v>
      </c>
      <c r="AB11" s="12" t="n">
        <v>2.1</v>
      </c>
      <c r="AC11" s="14" t="n">
        <v>1.78</v>
      </c>
      <c r="AD11" s="14" t="n">
        <v>4.44</v>
      </c>
      <c r="AE11" s="14" t="n">
        <v>4.44</v>
      </c>
      <c r="AF11" s="14" t="n">
        <v>4.44</v>
      </c>
      <c r="AG11" s="14" t="n">
        <v>4.44</v>
      </c>
      <c r="AH11" t="n">
        <v>2.11</v>
      </c>
    </row>
    <row r="12">
      <c r="A12" s="5" t="inlineStr">
        <is>
          <t>Cow slurry</t>
        </is>
      </c>
      <c r="B12" s="12" t="n">
        <v>73.28</v>
      </c>
      <c r="C12" s="12" t="n">
        <v>73.28</v>
      </c>
      <c r="D12" s="12" t="n">
        <v>73.28</v>
      </c>
      <c r="E12" s="12" t="n">
        <v>72.41</v>
      </c>
      <c r="F12" s="12" t="n">
        <v>3.08</v>
      </c>
      <c r="G12" s="12" t="n">
        <v>3.37</v>
      </c>
      <c r="H12" s="12" t="n">
        <v>3.08</v>
      </c>
      <c r="I12" s="12" t="n">
        <v>3.37</v>
      </c>
      <c r="J12" s="12" t="n">
        <v>36.01</v>
      </c>
      <c r="K12" s="12" t="n">
        <v>34.72</v>
      </c>
      <c r="L12" s="12" t="n">
        <v>32.77</v>
      </c>
      <c r="M12" s="12" t="n">
        <v>31.48</v>
      </c>
      <c r="N12" s="12" t="n">
        <v>29.53</v>
      </c>
      <c r="O12" s="12" t="n">
        <v>73.01000000000001</v>
      </c>
      <c r="P12" s="12" t="n">
        <v>72.81</v>
      </c>
      <c r="Q12" s="12" t="n">
        <v>72.61</v>
      </c>
      <c r="R12" s="14" t="n">
        <v>3.37</v>
      </c>
      <c r="S12" s="14" t="n">
        <v>3.08</v>
      </c>
      <c r="T12" s="14" t="n">
        <v>3.74</v>
      </c>
      <c r="U12" s="14" t="n">
        <v>4.58</v>
      </c>
      <c r="V12" s="14" t="n">
        <v>5.06</v>
      </c>
      <c r="W12" s="14" t="n">
        <v>5.71</v>
      </c>
      <c r="X12" s="14" t="n">
        <v>7.01</v>
      </c>
      <c r="Y12" s="14" t="n">
        <v>8.289999999999999</v>
      </c>
      <c r="Z12" s="14" t="n">
        <v>13.55</v>
      </c>
      <c r="AA12" s="14" t="n">
        <v>16.18</v>
      </c>
      <c r="AB12" s="12" t="n">
        <v>3.37</v>
      </c>
      <c r="AC12" s="14" t="n">
        <v>28.39</v>
      </c>
      <c r="AD12" s="14" t="n">
        <v>72.41</v>
      </c>
      <c r="AE12" s="14" t="n">
        <v>56.77</v>
      </c>
      <c r="AF12" s="14" t="n">
        <v>44.84</v>
      </c>
      <c r="AG12" s="14" t="n">
        <v>32.64</v>
      </c>
      <c r="AH12" t="n">
        <v>3.37</v>
      </c>
    </row>
    <row r="13">
      <c r="A13" s="5" t="inlineStr">
        <is>
          <t>Maize silage</t>
        </is>
      </c>
      <c r="B13" s="12" t="n">
        <v>20</v>
      </c>
      <c r="C13" s="12" t="n">
        <v>20</v>
      </c>
      <c r="D13" s="12" t="n">
        <v>20</v>
      </c>
      <c r="E13" s="12" t="n">
        <v>16.13</v>
      </c>
      <c r="F13" s="12" t="n">
        <v>20</v>
      </c>
      <c r="G13" s="12" t="n">
        <v>20</v>
      </c>
      <c r="H13" s="12" t="n">
        <v>20</v>
      </c>
      <c r="I13" s="12" t="n">
        <v>20</v>
      </c>
      <c r="J13" s="12" t="n">
        <v>20</v>
      </c>
      <c r="K13" s="12" t="n">
        <v>20</v>
      </c>
      <c r="L13" s="12" t="n">
        <v>20</v>
      </c>
      <c r="M13" s="12" t="n">
        <v>20</v>
      </c>
      <c r="N13" s="12" t="n">
        <v>20</v>
      </c>
      <c r="O13" s="12" t="n">
        <v>16.79</v>
      </c>
      <c r="P13" s="12" t="n">
        <v>16.57</v>
      </c>
      <c r="Q13" s="12" t="n">
        <v>16.35</v>
      </c>
      <c r="R13" s="14" t="n">
        <v>20</v>
      </c>
      <c r="S13" s="14" t="n">
        <v>20</v>
      </c>
      <c r="T13" s="14" t="n">
        <v>20</v>
      </c>
      <c r="U13" s="14" t="n">
        <v>20</v>
      </c>
      <c r="V13" s="14" t="n">
        <v>20</v>
      </c>
      <c r="W13" s="14" t="n">
        <v>19.17</v>
      </c>
      <c r="X13" s="14" t="n">
        <v>18.55</v>
      </c>
      <c r="Y13" s="14" t="n">
        <v>11.58</v>
      </c>
      <c r="Z13" s="14" t="n">
        <v>12.31</v>
      </c>
      <c r="AA13" s="14" t="n">
        <v>11.38</v>
      </c>
      <c r="AB13" s="12" t="n">
        <v>20</v>
      </c>
      <c r="AC13" s="14" t="n">
        <v>20</v>
      </c>
      <c r="AD13" s="14" t="n">
        <v>16.13</v>
      </c>
      <c r="AE13" s="14" t="n">
        <v>13.79</v>
      </c>
      <c r="AF13" s="14" t="n">
        <v>8.58</v>
      </c>
      <c r="AG13" s="14" t="n">
        <v>20</v>
      </c>
      <c r="AH13" t="n">
        <v>20</v>
      </c>
    </row>
    <row r="14">
      <c r="A14" s="5" t="inlineStr">
        <is>
          <t>Pig slurry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64.95</v>
      </c>
      <c r="G14" s="12" t="n">
        <v>64.52</v>
      </c>
      <c r="H14" s="12" t="n">
        <v>64.95</v>
      </c>
      <c r="I14" s="12" t="n">
        <v>64.52</v>
      </c>
      <c r="J14" s="12" t="n">
        <v>34.62</v>
      </c>
      <c r="K14" s="12" t="n">
        <v>35.74</v>
      </c>
      <c r="L14" s="12" t="n">
        <v>37.43</v>
      </c>
      <c r="M14" s="12" t="n">
        <v>38.55</v>
      </c>
      <c r="N14" s="12" t="n">
        <v>40.23</v>
      </c>
      <c r="O14" s="12" t="n">
        <v>0</v>
      </c>
      <c r="P14" s="12" t="n">
        <v>0</v>
      </c>
      <c r="Q14" s="12" t="n">
        <v>0</v>
      </c>
      <c r="R14" s="14" t="n">
        <v>64.52</v>
      </c>
      <c r="S14" s="14" t="n">
        <v>64.70999999999999</v>
      </c>
      <c r="T14" s="14" t="n">
        <v>64.11</v>
      </c>
      <c r="U14" s="14" t="n">
        <v>63.22</v>
      </c>
      <c r="V14" s="14" t="n">
        <v>62.99</v>
      </c>
      <c r="W14" s="14" t="n">
        <v>62.3</v>
      </c>
      <c r="X14" s="14" t="n">
        <v>60.8</v>
      </c>
      <c r="Y14" s="14" t="n">
        <v>58.62</v>
      </c>
      <c r="Z14" s="14" t="n">
        <v>54.17</v>
      </c>
      <c r="AA14" s="14" t="n">
        <v>51.91</v>
      </c>
      <c r="AB14" s="12" t="n">
        <v>64.53</v>
      </c>
      <c r="AC14" s="14" t="n">
        <v>41.76</v>
      </c>
      <c r="AD14" s="14" t="n">
        <v>0</v>
      </c>
      <c r="AE14" s="14" t="n">
        <v>13.87</v>
      </c>
      <c r="AF14" s="14" t="n">
        <v>24.11</v>
      </c>
      <c r="AG14" s="14" t="n">
        <v>36.94</v>
      </c>
      <c r="AH14" t="n">
        <v>64.52</v>
      </c>
    </row>
    <row r="15">
      <c r="A15" s="5" t="inlineStr">
        <is>
          <t>Sorghum silage</t>
        </is>
      </c>
      <c r="B15" s="12" t="n">
        <v>0</v>
      </c>
      <c r="C15" s="12" t="n">
        <v>0</v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2" t="n">
        <v>0</v>
      </c>
      <c r="O15" s="12" t="n">
        <v>0</v>
      </c>
      <c r="P15" s="12" t="n">
        <v>0</v>
      </c>
      <c r="Q15" s="12" t="n">
        <v>0</v>
      </c>
      <c r="R15" s="14" t="n">
        <v>0</v>
      </c>
      <c r="S15" s="14" t="n">
        <v>0.22</v>
      </c>
      <c r="T15" s="14" t="n">
        <v>0.28</v>
      </c>
      <c r="U15" s="14" t="n">
        <v>0.84</v>
      </c>
      <c r="V15" s="14" t="n">
        <v>1.06</v>
      </c>
      <c r="W15" s="14" t="n">
        <v>1.16</v>
      </c>
      <c r="X15" s="14" t="n">
        <v>1.16</v>
      </c>
      <c r="Y15" s="14" t="n">
        <v>1.16</v>
      </c>
      <c r="Z15" s="14" t="n">
        <v>1.16</v>
      </c>
      <c r="AA15" s="14" t="n">
        <v>1.16</v>
      </c>
      <c r="AB15" s="12" t="n">
        <v>0</v>
      </c>
      <c r="AC15" s="14" t="n">
        <v>0.39</v>
      </c>
      <c r="AD15" s="14" t="n">
        <v>0</v>
      </c>
      <c r="AE15" s="14" t="n">
        <v>1.34</v>
      </c>
      <c r="AF15" s="14" t="n">
        <v>2.33</v>
      </c>
      <c r="AG15" s="14" t="n">
        <v>0</v>
      </c>
      <c r="AH15" t="n">
        <v>0</v>
      </c>
    </row>
    <row r="16">
      <c r="A16" s="5" t="inlineStr">
        <is>
          <t>Tomato peels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2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0</v>
      </c>
      <c r="AH16" t="n">
        <v>0</v>
      </c>
    </row>
    <row r="17">
      <c r="A17" s="5" t="inlineStr">
        <is>
          <t>Triticale silage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2.92</v>
      </c>
      <c r="G17" s="12" t="n">
        <v>2.63</v>
      </c>
      <c r="H17" s="12" t="n">
        <v>2.92</v>
      </c>
      <c r="I17" s="12" t="n">
        <v>2.63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  <c r="O17" s="12" t="n">
        <v>0</v>
      </c>
      <c r="P17" s="12" t="n">
        <v>0</v>
      </c>
      <c r="Q17" s="12" t="n">
        <v>0</v>
      </c>
      <c r="R17" s="14" t="n">
        <v>2.63</v>
      </c>
      <c r="S17" s="14" t="n">
        <v>2.42</v>
      </c>
      <c r="T17" s="14" t="n">
        <v>2.35</v>
      </c>
      <c r="U17" s="14" t="n">
        <v>1.8</v>
      </c>
      <c r="V17" s="14" t="n">
        <v>2.27</v>
      </c>
      <c r="W17" s="14" t="n">
        <v>2.82</v>
      </c>
      <c r="X17" s="14" t="n">
        <v>3</v>
      </c>
      <c r="Y17" s="14" t="n">
        <v>10.3</v>
      </c>
      <c r="Z17" s="14" t="n">
        <v>9.51</v>
      </c>
      <c r="AA17" s="14" t="n">
        <v>10.77</v>
      </c>
      <c r="AB17" s="12" t="n">
        <v>2.63</v>
      </c>
      <c r="AC17" s="14" t="n">
        <v>1.76</v>
      </c>
      <c r="AD17" s="14" t="n">
        <v>0</v>
      </c>
      <c r="AE17" s="14" t="n">
        <v>2.87</v>
      </c>
      <c r="AF17" s="14" t="n">
        <v>8.99</v>
      </c>
      <c r="AG17" s="14" t="n">
        <v>0</v>
      </c>
      <c r="AH17" t="n">
        <v>2.63</v>
      </c>
    </row>
    <row r="18">
      <c r="A18" s="8" t="inlineStr">
        <is>
          <t>Wheat byproducts</t>
        </is>
      </c>
      <c r="B18" s="12" t="n">
        <v>0</v>
      </c>
      <c r="C18" s="12" t="n">
        <v>0</v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0</v>
      </c>
      <c r="N18" s="12" t="n">
        <v>0</v>
      </c>
      <c r="O18" s="12" t="n">
        <v>0</v>
      </c>
      <c r="P18" s="12" t="n">
        <v>0</v>
      </c>
      <c r="Q18" s="12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2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0</v>
      </c>
      <c r="AH18" t="n">
        <v>0</v>
      </c>
    </row>
    <row r="19">
      <c r="A19" s="5" t="inlineStr">
        <is>
          <t>unc.bmp</t>
        </is>
      </c>
      <c r="B19" t="b">
        <v>0</v>
      </c>
      <c r="C19" t="b">
        <v>0</v>
      </c>
      <c r="D19" t="b">
        <v>1</v>
      </c>
      <c r="E19" t="b">
        <v>1</v>
      </c>
      <c r="F19" t="b">
        <v>0</v>
      </c>
      <c r="G19" t="b">
        <v>1</v>
      </c>
      <c r="H19" t="b">
        <v>0</v>
      </c>
      <c r="I19" t="b">
        <v>1</v>
      </c>
      <c r="J19" t="b">
        <v>1</v>
      </c>
      <c r="K19" t="b">
        <v>1</v>
      </c>
      <c r="L19" t="b">
        <v>1</v>
      </c>
      <c r="M19" t="b">
        <v>1</v>
      </c>
      <c r="N19" t="b">
        <v>1</v>
      </c>
      <c r="O19" t="b">
        <v>1</v>
      </c>
      <c r="P19" t="b">
        <v>1</v>
      </c>
      <c r="Q19" t="b">
        <v>1</v>
      </c>
      <c r="R19" t="b">
        <v>1</v>
      </c>
      <c r="S19" t="b">
        <v>1</v>
      </c>
      <c r="T19" t="b">
        <v>1</v>
      </c>
      <c r="U19" t="b">
        <v>1</v>
      </c>
      <c r="V19" t="b">
        <v>1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b">
        <v>1</v>
      </c>
      <c r="AC19" t="b">
        <v>1</v>
      </c>
      <c r="AD19" t="b">
        <v>1</v>
      </c>
      <c r="AE19" t="b">
        <v>1</v>
      </c>
      <c r="AF19" t="b">
        <v>1</v>
      </c>
      <c r="AG19" t="b">
        <v>1</v>
      </c>
      <c r="AH19" t="b">
        <v>1</v>
      </c>
    </row>
    <row r="20">
      <c r="A20" s="5" t="inlineStr">
        <is>
          <t>unc.price</t>
        </is>
      </c>
      <c r="B20" t="b">
        <v>0</v>
      </c>
      <c r="C20" t="b">
        <v>1</v>
      </c>
      <c r="D20" t="b">
        <v>0</v>
      </c>
      <c r="E20" t="b">
        <v>1</v>
      </c>
      <c r="F20" t="b">
        <v>0</v>
      </c>
      <c r="G20" t="b">
        <v>0</v>
      </c>
      <c r="H20" t="b">
        <v>1</v>
      </c>
      <c r="I20" t="b">
        <v>1</v>
      </c>
      <c r="J20" t="b">
        <v>1</v>
      </c>
      <c r="K20" t="b">
        <v>1</v>
      </c>
      <c r="L20" t="b">
        <v>1</v>
      </c>
      <c r="M20" t="b">
        <v>1</v>
      </c>
      <c r="N20" t="b">
        <v>1</v>
      </c>
      <c r="O20" t="b">
        <v>1</v>
      </c>
      <c r="P20" t="b">
        <v>1</v>
      </c>
      <c r="Q20" t="b">
        <v>1</v>
      </c>
      <c r="R20" t="b">
        <v>1</v>
      </c>
      <c r="S20" t="b">
        <v>1</v>
      </c>
      <c r="T20" t="b">
        <v>1</v>
      </c>
      <c r="U20" t="b">
        <v>1</v>
      </c>
      <c r="V20" t="b">
        <v>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b">
        <v>1</v>
      </c>
      <c r="AC20" t="b">
        <v>1</v>
      </c>
      <c r="AD20" t="b">
        <v>1</v>
      </c>
      <c r="AE20" t="b">
        <v>1</v>
      </c>
      <c r="AF20" t="b">
        <v>1</v>
      </c>
      <c r="AG20" t="b">
        <v>1</v>
      </c>
      <c r="AH20" t="b">
        <v>1</v>
      </c>
    </row>
    <row r="21">
      <c r="B21">
        <f>($B$8-B8)/$B$8</f>
        <v/>
      </c>
      <c r="C21">
        <f>($B$8-C8)/$B$8</f>
        <v/>
      </c>
      <c r="D21">
        <f>($B$8-D8)/$B$8</f>
        <v/>
      </c>
      <c r="E21">
        <f>($B$8-E8)/$B$8</f>
        <v/>
      </c>
      <c r="F21">
        <f>($F$8-F8)/$F$8</f>
        <v/>
      </c>
      <c r="G21">
        <f>($F$8-G8)/$F$8</f>
        <v/>
      </c>
      <c r="H21">
        <f>($F$8-H8)/$F$8</f>
        <v/>
      </c>
      <c r="I21">
        <f>($F$8-I8)/$F$8</f>
        <v/>
      </c>
    </row>
    <row r="22">
      <c r="A22" s="5" t="inlineStr">
        <is>
          <t>Qin</t>
        </is>
      </c>
      <c r="B22" s="15">
        <f>(2*1350+3179)/B1</f>
        <v/>
      </c>
      <c r="C22" s="15">
        <f>(2*1350+3179)/C1</f>
        <v/>
      </c>
      <c r="D22" s="15">
        <f>(2*1350+3179)/D1</f>
        <v/>
      </c>
      <c r="E22" s="15">
        <f>(2*1350+3179)/E1</f>
        <v/>
      </c>
      <c r="F22" s="15">
        <f>(2*1350+3179)/F1</f>
        <v/>
      </c>
      <c r="G22" s="15">
        <f>(2*1350+3179)/G1</f>
        <v/>
      </c>
      <c r="H22" s="15">
        <f>(2*1350+3179)/H1</f>
        <v/>
      </c>
      <c r="I22" s="15">
        <f>(2*1350+3179)/I1</f>
        <v/>
      </c>
      <c r="J22" s="15">
        <f>(2*1350+3179)/J1</f>
        <v/>
      </c>
      <c r="K22" s="15">
        <f>(2*1350+3179)/K1</f>
        <v/>
      </c>
      <c r="L22" s="15">
        <f>(2*1350+3179)/L1</f>
        <v/>
      </c>
      <c r="M22" s="15">
        <f>(2*1350+3179)/M1</f>
        <v/>
      </c>
      <c r="N22" s="15">
        <f>(2*1350+3179)/N1</f>
        <v/>
      </c>
      <c r="O22" s="15">
        <f>(2*1350+3179)/O1</f>
        <v/>
      </c>
      <c r="P22" s="15">
        <f>(2*1350+3179)/P1</f>
        <v/>
      </c>
      <c r="Q22" s="15">
        <f>(2*1350+3179)/Q1</f>
        <v/>
      </c>
    </row>
    <row r="23">
      <c r="A23" s="5" t="inlineStr">
        <is>
          <t>Revenue/tonIN</t>
        </is>
      </c>
      <c r="B23" s="15">
        <f>B5/B22</f>
        <v/>
      </c>
      <c r="C23" s="15">
        <f>C5/C22</f>
        <v/>
      </c>
      <c r="D23" s="15">
        <f>D5/D22</f>
        <v/>
      </c>
      <c r="E23" s="15">
        <f>E5/E22</f>
        <v/>
      </c>
      <c r="F23" s="15">
        <f>F5/F22</f>
        <v/>
      </c>
      <c r="G23" s="15">
        <f>G5/G22</f>
        <v/>
      </c>
      <c r="H23" s="15">
        <f>H5/H22</f>
        <v/>
      </c>
      <c r="I23" s="15">
        <f>I5/I22</f>
        <v/>
      </c>
      <c r="J23" s="15">
        <f>J5/J22</f>
        <v/>
      </c>
      <c r="K23" s="15">
        <f>K5/K22</f>
        <v/>
      </c>
      <c r="L23" s="15">
        <f>L5/L22</f>
        <v/>
      </c>
      <c r="M23" s="15">
        <f>M5/M22</f>
        <v/>
      </c>
      <c r="N23" s="15">
        <f>N5/N22</f>
        <v/>
      </c>
      <c r="O23" s="15">
        <f>O5/O22</f>
        <v/>
      </c>
      <c r="P23" s="15">
        <f>P5/P22</f>
        <v/>
      </c>
      <c r="Q23" s="15">
        <f>Q5/Q22</f>
        <v/>
      </c>
    </row>
    <row r="24">
      <c r="A24" s="5" t="inlineStr">
        <is>
          <t>Cp/tonIN</t>
        </is>
      </c>
      <c r="B24" s="15">
        <f>B6/B22</f>
        <v/>
      </c>
      <c r="C24" s="15">
        <f>C6/C22</f>
        <v/>
      </c>
      <c r="D24" s="15">
        <f>D6/D22</f>
        <v/>
      </c>
      <c r="E24" s="15">
        <f>E6/E22</f>
        <v/>
      </c>
      <c r="F24" s="15">
        <f>F6/F22</f>
        <v/>
      </c>
      <c r="G24" s="15">
        <f>G6/G22</f>
        <v/>
      </c>
      <c r="H24" s="15">
        <f>H6/H22</f>
        <v/>
      </c>
      <c r="I24" s="15">
        <f>I6/I22</f>
        <v/>
      </c>
      <c r="J24" s="15">
        <f>J6/J22</f>
        <v/>
      </c>
      <c r="K24" s="15">
        <f>K6/K22</f>
        <v/>
      </c>
      <c r="L24" s="15">
        <f>L6/L22</f>
        <v/>
      </c>
      <c r="M24" s="15">
        <f>M6/M22</f>
        <v/>
      </c>
      <c r="N24" s="15">
        <f>N6/N22</f>
        <v/>
      </c>
      <c r="O24" s="15">
        <f>O6/O22</f>
        <v/>
      </c>
      <c r="P24" s="15">
        <f>P6/P22</f>
        <v/>
      </c>
      <c r="Q24" s="15">
        <f>Q6/Q22</f>
        <v/>
      </c>
    </row>
    <row r="25">
      <c r="A25" s="5" t="inlineStr">
        <is>
          <t>Ct/tonIN</t>
        </is>
      </c>
      <c r="B25" s="15">
        <f>B7/B22</f>
        <v/>
      </c>
      <c r="C25" s="15">
        <f>C7/C22</f>
        <v/>
      </c>
      <c r="D25" s="15">
        <f>D7/D22</f>
        <v/>
      </c>
      <c r="E25" s="15">
        <f>E7/E22</f>
        <v/>
      </c>
      <c r="F25" s="15">
        <f>F7/F22</f>
        <v/>
      </c>
      <c r="G25" s="15">
        <f>G7/G22</f>
        <v/>
      </c>
      <c r="H25" s="15">
        <f>H7/H22</f>
        <v/>
      </c>
      <c r="I25" s="15">
        <f>I7/I22</f>
        <v/>
      </c>
      <c r="J25" s="15">
        <f>J7/J22</f>
        <v/>
      </c>
      <c r="K25" s="15">
        <f>K7/K22</f>
        <v/>
      </c>
      <c r="L25" s="15">
        <f>L7/L22</f>
        <v/>
      </c>
      <c r="M25" s="15">
        <f>M7/M22</f>
        <v/>
      </c>
      <c r="N25" s="15">
        <f>N7/N22</f>
        <v/>
      </c>
      <c r="O25" s="15">
        <f>O7/O22</f>
        <v/>
      </c>
      <c r="P25" s="15">
        <f>P7/P22</f>
        <v/>
      </c>
      <c r="Q25" s="15">
        <f>Q7/Q22</f>
        <v/>
      </c>
    </row>
    <row r="26"/>
    <row r="27">
      <c r="A27" s="5" t="inlineStr">
        <is>
          <t>VaR</t>
        </is>
      </c>
      <c r="B27" t="n">
        <v>0.95</v>
      </c>
      <c r="C27" t="n">
        <v>0.95</v>
      </c>
      <c r="D27" t="n">
        <v>0.95</v>
      </c>
      <c r="E27" t="n">
        <v>0.95</v>
      </c>
      <c r="F27" t="n">
        <v>0.95</v>
      </c>
      <c r="G27" t="n">
        <v>0.95</v>
      </c>
      <c r="H27" t="n">
        <v>0.95</v>
      </c>
      <c r="I27" t="n">
        <v>0.95</v>
      </c>
      <c r="J27" t="n">
        <v>0.95</v>
      </c>
      <c r="K27" t="n">
        <v>0.95</v>
      </c>
      <c r="L27" t="n">
        <v>0.95</v>
      </c>
      <c r="M27" t="n">
        <v>0.95</v>
      </c>
      <c r="N27" t="n">
        <v>0.95</v>
      </c>
      <c r="O27" t="n">
        <v>0.95</v>
      </c>
      <c r="P27" t="n">
        <v>0.95</v>
      </c>
      <c r="Q27" t="n">
        <v>0.95</v>
      </c>
      <c r="R27" t="n">
        <v>0.99</v>
      </c>
      <c r="S27" t="n">
        <v>0.8</v>
      </c>
      <c r="T27" t="n">
        <v>0.7</v>
      </c>
      <c r="U27" t="n">
        <v>0.6</v>
      </c>
      <c r="V27" t="n">
        <v>0.5</v>
      </c>
      <c r="W27" t="n">
        <v>0.4</v>
      </c>
      <c r="X27" t="n">
        <v>0.3</v>
      </c>
      <c r="Y27" t="n">
        <v>0.2</v>
      </c>
      <c r="Z27" t="n">
        <v>0.1</v>
      </c>
      <c r="AA27" t="n">
        <v>0.05</v>
      </c>
      <c r="AB27" t="n">
        <v>0.9</v>
      </c>
      <c r="AC27" t="n">
        <v>0.01</v>
      </c>
      <c r="AD27" t="n">
        <v>0.99</v>
      </c>
      <c r="AE27" t="n">
        <v>0.5</v>
      </c>
      <c r="AF27" t="n">
        <v>0.05</v>
      </c>
      <c r="AG27" t="n">
        <v>0.01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41"/>
  <sheetViews>
    <sheetView zoomScale="85" zoomScaleNormal="85" workbookViewId="0">
      <selection activeCell="G18" sqref="G18:S32"/>
    </sheetView>
  </sheetViews>
  <sheetFormatPr baseColWidth="8" defaultRowHeight="14.4"/>
  <cols>
    <col width="12.6640625" bestFit="1" customWidth="1" min="3" max="3"/>
    <col width="12.6640625" bestFit="1" customWidth="1" min="5" max="5"/>
  </cols>
  <sheetData>
    <row r="1">
      <c r="A1" s="10" t="inlineStr">
        <is>
          <t>HRT</t>
        </is>
      </c>
      <c r="B1" s="11" t="inlineStr">
        <is>
          <t>Gamma_Z</t>
        </is>
      </c>
      <c r="C1" s="11" t="inlineStr">
        <is>
          <t>Gamma_W</t>
        </is>
      </c>
      <c r="D1" s="11" t="inlineStr">
        <is>
          <t>Gamma_L</t>
        </is>
      </c>
      <c r="E1" s="11" t="inlineStr">
        <is>
          <t>Revenue</t>
        </is>
      </c>
      <c r="F1" s="11" t="inlineStr">
        <is>
          <t>Purchase costs</t>
        </is>
      </c>
      <c r="G1" s="11" t="inlineStr">
        <is>
          <t>Transportation costs</t>
        </is>
      </c>
      <c r="H1" s="11" t="inlineStr">
        <is>
          <t>J</t>
        </is>
      </c>
      <c r="I1" s="5" t="inlineStr">
        <is>
          <t>Barley silage</t>
        </is>
      </c>
      <c r="J1" s="5" t="inlineStr">
        <is>
          <t>Chicken dung</t>
        </is>
      </c>
      <c r="K1" s="5" t="inlineStr">
        <is>
          <t>Cow dung</t>
        </is>
      </c>
      <c r="L1" s="5" t="inlineStr">
        <is>
          <t>Cow slurry</t>
        </is>
      </c>
      <c r="M1" s="5" t="inlineStr">
        <is>
          <t>Maize silage</t>
        </is>
      </c>
      <c r="N1" s="5" t="inlineStr">
        <is>
          <t>Pig slurry</t>
        </is>
      </c>
      <c r="O1" s="5" t="inlineStr">
        <is>
          <t>Sorghum silage</t>
        </is>
      </c>
      <c r="P1" s="5" t="inlineStr">
        <is>
          <t>Tomato peels</t>
        </is>
      </c>
      <c r="Q1" s="5" t="inlineStr">
        <is>
          <t>Triticale silage</t>
        </is>
      </c>
      <c r="R1" s="8" t="inlineStr">
        <is>
          <t>Wheat byproducts</t>
        </is>
      </c>
      <c r="S1" s="5" t="inlineStr">
        <is>
          <t>unc.bmp</t>
        </is>
      </c>
      <c r="T1" s="5" t="inlineStr">
        <is>
          <t>unc.price</t>
        </is>
      </c>
      <c r="W1" s="5" t="inlineStr">
        <is>
          <t>VS</t>
        </is>
      </c>
      <c r="X1" s="5" t="inlineStr">
        <is>
          <t>BMPinf</t>
        </is>
      </c>
      <c r="Y1" s="5" t="inlineStr">
        <is>
          <t>TKN</t>
        </is>
      </c>
      <c r="Z1" s="5" t="inlineStr">
        <is>
          <t>C/N</t>
        </is>
      </c>
      <c r="AA1" s="5" t="inlineStr">
        <is>
          <t>TAN</t>
        </is>
      </c>
      <c r="AB1" s="5" t="inlineStr">
        <is>
          <t>TAC</t>
        </is>
      </c>
      <c r="AC1" s="5" t="inlineStr">
        <is>
          <t>LI</t>
        </is>
      </c>
      <c r="AD1" s="5" t="inlineStr">
        <is>
          <t>TVFA</t>
        </is>
      </c>
    </row>
    <row r="2">
      <c r="A2" t="n">
        <v>50</v>
      </c>
      <c r="B2" s="14" t="n">
        <v>7.155556</v>
      </c>
      <c r="C2" s="14" t="n">
        <v>5.400348</v>
      </c>
      <c r="D2" s="14" t="n">
        <v>7.740455</v>
      </c>
      <c r="E2" s="15" t="n">
        <v>4593.358647314994</v>
      </c>
      <c r="F2" s="15" t="n">
        <v>1565.268537245359</v>
      </c>
      <c r="G2" s="15" t="n">
        <v>352.2695062334124</v>
      </c>
      <c r="H2" s="24" t="n">
        <v>2675.820603836222</v>
      </c>
      <c r="I2" s="12" t="n">
        <v>2.28</v>
      </c>
      <c r="J2" s="12" t="n">
        <v>0</v>
      </c>
      <c r="K2" s="12" t="n">
        <v>4.44</v>
      </c>
      <c r="L2" s="12" t="n">
        <v>73.28</v>
      </c>
      <c r="M2" s="12" t="n">
        <v>20</v>
      </c>
      <c r="N2" s="12" t="n">
        <v>0</v>
      </c>
      <c r="O2" s="12" t="n">
        <v>0</v>
      </c>
      <c r="P2" s="12" t="n">
        <v>0</v>
      </c>
      <c r="Q2" s="12" t="n">
        <v>0</v>
      </c>
      <c r="R2" s="12" t="n">
        <v>0</v>
      </c>
      <c r="S2" t="b">
        <v>0</v>
      </c>
      <c r="T2" t="b">
        <v>0</v>
      </c>
      <c r="U2">
        <f>G2/(G2+F2)</f>
        <v/>
      </c>
      <c r="V2">
        <f>M2+Q2+O2+P2+I2+R2</f>
        <v/>
      </c>
      <c r="W2" s="24">
        <f t="array" ref="W2">SUMPRODUCT(I2:R2/100,$I$21:$R$21)</f>
        <v/>
      </c>
      <c r="X2" s="24">
        <f t="array" ref="X2">SUMPRODUCT(I2:R2/100,$I$22:$R$22)</f>
        <v/>
      </c>
      <c r="Y2" s="24">
        <f t="array" ref="Y2">SUMPRODUCT(I2:R2/100,$I$24:$R$24)</f>
        <v/>
      </c>
      <c r="Z2" s="24">
        <f t="array" ref="Z2">SUMPRODUCT(I2:R2/100,$I$25:$R$25)</f>
        <v/>
      </c>
      <c r="AA2" s="24">
        <f t="array" ref="AA2">SUMPRODUCT(I2:R2/100,$I$26:$R$26)</f>
        <v/>
      </c>
      <c r="AB2" s="24">
        <f t="array" ref="AB2">SUMPRODUCT(I2:R2/100,$I$27:$R$27)</f>
        <v/>
      </c>
      <c r="AC2" s="24">
        <f t="array" ref="AC2">SUMPRODUCT(I2:R2/100,$I$28:$R$28)</f>
        <v/>
      </c>
      <c r="AD2" s="24">
        <f t="array" ref="AD2">SUMPRODUCT(I2:R2/100,$I$29:$R$29)</f>
        <v/>
      </c>
    </row>
    <row r="3">
      <c r="A3" t="n">
        <v>49.99999999999999</v>
      </c>
      <c r="B3" s="14" t="n">
        <v>7.155556</v>
      </c>
      <c r="C3" s="14" t="n">
        <v>5.400348</v>
      </c>
      <c r="D3" s="14" t="n">
        <v>7.740455</v>
      </c>
      <c r="E3" s="15" t="n">
        <v>4593.358647314994</v>
      </c>
      <c r="F3" s="15" t="n">
        <v>1935.910134757512</v>
      </c>
      <c r="G3" s="15" t="n">
        <v>352.2695062334124</v>
      </c>
      <c r="H3" s="24" t="n">
        <v>2305.179006324069</v>
      </c>
      <c r="I3" s="12" t="n">
        <v>2.28</v>
      </c>
      <c r="J3" s="12" t="n">
        <v>0</v>
      </c>
      <c r="K3" s="12" t="n">
        <v>4.44</v>
      </c>
      <c r="L3" s="12" t="n">
        <v>73.28</v>
      </c>
      <c r="M3" s="12" t="n">
        <v>20</v>
      </c>
      <c r="N3" s="12" t="n">
        <v>0</v>
      </c>
      <c r="O3" s="12" t="n">
        <v>0</v>
      </c>
      <c r="P3" s="12" t="n">
        <v>0</v>
      </c>
      <c r="Q3" s="12" t="n">
        <v>0</v>
      </c>
      <c r="R3" s="12" t="n">
        <v>0</v>
      </c>
      <c r="S3" t="b">
        <v>0</v>
      </c>
      <c r="T3" t="b">
        <v>1</v>
      </c>
      <c r="U3">
        <f>G3/(G3+F3)</f>
        <v/>
      </c>
      <c r="V3">
        <f>M3+Q3+O3+P3+I3+R3</f>
        <v/>
      </c>
      <c r="W3" s="24">
        <f t="array" ref="W3">SUMPRODUCT(I3:R3/100,$I$21:$R$21)</f>
        <v/>
      </c>
      <c r="X3" s="24">
        <f t="array" ref="X3">SUMPRODUCT(I3:R3/100,$I$22:$R$22)</f>
        <v/>
      </c>
      <c r="Y3" s="24">
        <f t="array" ref="Y3">SUMPRODUCT(I3:R3/100,$I$24:$R$24)</f>
        <v/>
      </c>
      <c r="Z3" s="24">
        <f t="array" ref="Z3">SUMPRODUCT(I3:R3/100,$I$25:$R$25)</f>
        <v/>
      </c>
      <c r="AA3" s="24">
        <f t="array" ref="AA3">SUMPRODUCT(I3:R3/100,$I$26:$R$26)</f>
        <v/>
      </c>
      <c r="AB3" s="24">
        <f t="array" ref="AB3">SUMPRODUCT(I3:R3/100,$I$27:$R$27)</f>
        <v/>
      </c>
      <c r="AC3" s="24">
        <f t="array" ref="AC3">SUMPRODUCT(I3:R3/100,$I$28:$R$28)</f>
        <v/>
      </c>
      <c r="AD3" s="24">
        <f t="array" ref="AD3">SUMPRODUCT(I3:R3/100,$I$29:$R$29)</f>
        <v/>
      </c>
    </row>
    <row r="4">
      <c r="A4" t="n">
        <v>50</v>
      </c>
      <c r="B4" s="14" t="n">
        <v>7.155556</v>
      </c>
      <c r="C4" s="14" t="n">
        <v>5.400348</v>
      </c>
      <c r="D4" s="14" t="n">
        <v>7.740455</v>
      </c>
      <c r="E4" s="15" t="n">
        <v>3873.136869985674</v>
      </c>
      <c r="F4" s="15" t="n">
        <v>1565.268537245359</v>
      </c>
      <c r="G4" s="15" t="n">
        <v>352.2695062334124</v>
      </c>
      <c r="H4" s="24" t="n">
        <v>1955.598826506903</v>
      </c>
      <c r="I4" s="12" t="n">
        <v>2.28</v>
      </c>
      <c r="J4" s="12" t="n">
        <v>0</v>
      </c>
      <c r="K4" s="12" t="n">
        <v>4.44</v>
      </c>
      <c r="L4" s="12" t="n">
        <v>73.28</v>
      </c>
      <c r="M4" s="12" t="n">
        <v>20</v>
      </c>
      <c r="N4" s="12" t="n">
        <v>0</v>
      </c>
      <c r="O4" s="12" t="n">
        <v>0</v>
      </c>
      <c r="P4" s="12" t="n">
        <v>0</v>
      </c>
      <c r="Q4" s="12" t="n">
        <v>0</v>
      </c>
      <c r="R4" s="12" t="n">
        <v>0</v>
      </c>
      <c r="S4" t="b">
        <v>1</v>
      </c>
      <c r="T4" t="b">
        <v>0</v>
      </c>
      <c r="U4">
        <f>G4/(G4+F4)</f>
        <v/>
      </c>
      <c r="V4">
        <f>M4+Q4+O4+P4+I4+R4</f>
        <v/>
      </c>
      <c r="W4" s="24">
        <f t="array" ref="W4">SUMPRODUCT(I4:R4/100,$I$21:$R$21)</f>
        <v/>
      </c>
      <c r="X4" s="24">
        <f t="array" ref="X4">SUMPRODUCT(I4:R4/100,$I$22:$R$22)</f>
        <v/>
      </c>
      <c r="Y4" s="24">
        <f t="array" ref="Y4">SUMPRODUCT(I4:R4/100,$I$24:$R$24)</f>
        <v/>
      </c>
      <c r="Z4" s="24">
        <f t="array" ref="Z4">SUMPRODUCT(I4:R4/100,$I$25:$R$25)</f>
        <v/>
      </c>
      <c r="AA4" s="24">
        <f t="array" ref="AA4">SUMPRODUCT(I4:R4/100,$I$26:$R$26)</f>
        <v/>
      </c>
      <c r="AB4" s="24">
        <f t="array" ref="AB4">SUMPRODUCT(I4:R4/100,$I$27:$R$27)</f>
        <v/>
      </c>
      <c r="AC4" s="24">
        <f t="array" ref="AC4">SUMPRODUCT(I4:R4/100,$I$28:$R$28)</f>
        <v/>
      </c>
      <c r="AD4" s="24">
        <f t="array" ref="AD4">SUMPRODUCT(I4:R4/100,$I$29:$R$29)</f>
        <v/>
      </c>
    </row>
    <row r="5">
      <c r="A5" t="n">
        <v>20</v>
      </c>
      <c r="B5" s="14" t="n">
        <v>7.155556</v>
      </c>
      <c r="C5" s="14" t="n">
        <v>5.400348</v>
      </c>
      <c r="D5" s="14" t="n">
        <v>7.740455</v>
      </c>
      <c r="E5" s="15" t="n">
        <v>11268.56737256268</v>
      </c>
      <c r="F5" s="15" t="n">
        <v>4312.693450259165</v>
      </c>
      <c r="G5" s="15" t="n">
        <v>898.1106218074993</v>
      </c>
      <c r="H5" s="24" t="n">
        <v>6057.763300496014</v>
      </c>
      <c r="I5" s="12" t="n">
        <v>7.08</v>
      </c>
      <c r="J5" s="12" t="n">
        <v>0.14</v>
      </c>
      <c r="K5" s="12" t="n">
        <v>1.83</v>
      </c>
      <c r="L5" s="12" t="n">
        <v>3.08</v>
      </c>
      <c r="M5" s="12" t="n">
        <v>20</v>
      </c>
      <c r="N5" s="12" t="n">
        <v>64.95</v>
      </c>
      <c r="O5" s="12" t="n">
        <v>0</v>
      </c>
      <c r="P5" s="12" t="n">
        <v>0</v>
      </c>
      <c r="Q5" s="12" t="n">
        <v>2.92</v>
      </c>
      <c r="R5" s="12" t="n">
        <v>0</v>
      </c>
      <c r="S5" t="b">
        <v>0</v>
      </c>
      <c r="T5" t="b">
        <v>0</v>
      </c>
      <c r="U5">
        <f>G5/(G5+F5)</f>
        <v/>
      </c>
      <c r="V5">
        <f>M5+Q5+O5+P5+I5+R5</f>
        <v/>
      </c>
      <c r="W5" s="24">
        <f t="array" ref="W5">SUMPRODUCT(I5:R5/100,$I$21:$R$21)</f>
        <v/>
      </c>
      <c r="X5" s="24">
        <f t="array" ref="X5">SUMPRODUCT(I5:R5/100,$I$22:$R$22)</f>
        <v/>
      </c>
      <c r="Y5" s="24">
        <f t="array" ref="Y5">SUMPRODUCT(I5:R5/100,$I$24:$R$24)</f>
        <v/>
      </c>
      <c r="Z5" s="24">
        <f t="array" ref="Z5">SUMPRODUCT(I5:R5/100,$I$25:$R$25)</f>
        <v/>
      </c>
      <c r="AA5" s="24">
        <f t="array" ref="AA5">SUMPRODUCT(I5:R5/100,$I$26:$R$26)</f>
        <v/>
      </c>
      <c r="AB5" s="24">
        <f t="array" ref="AB5">SUMPRODUCT(I5:R5/100,$I$27:$R$27)</f>
        <v/>
      </c>
      <c r="AC5" s="24">
        <f t="array" ref="AC5">SUMPRODUCT(I5:R5/100,$I$28:$R$28)</f>
        <v/>
      </c>
      <c r="AD5" s="24">
        <f t="array" ref="AD5">SUMPRODUCT(I5:R5/100,$I$29:$R$29)</f>
        <v/>
      </c>
    </row>
    <row r="6">
      <c r="A6" t="n">
        <v>20</v>
      </c>
      <c r="B6" s="14" t="n">
        <v>7.155556</v>
      </c>
      <c r="C6" s="14" t="n">
        <v>5.400348</v>
      </c>
      <c r="D6" s="14" t="n">
        <v>7.740455</v>
      </c>
      <c r="E6" s="15" t="n">
        <v>9440.659861137492</v>
      </c>
      <c r="F6" s="15" t="n">
        <v>4305.013627674614</v>
      </c>
      <c r="G6" s="15" t="n">
        <v>899.0021021203529</v>
      </c>
      <c r="H6" s="24" t="n">
        <v>4236.644131342525</v>
      </c>
      <c r="I6" s="12" t="n">
        <v>7.37</v>
      </c>
      <c r="J6" s="12" t="n">
        <v>0</v>
      </c>
      <c r="K6" s="12" t="n">
        <v>2.11</v>
      </c>
      <c r="L6" s="12" t="n">
        <v>3.37</v>
      </c>
      <c r="M6" s="12" t="n">
        <v>20</v>
      </c>
      <c r="N6" s="12" t="n">
        <v>64.52</v>
      </c>
      <c r="O6" s="12" t="n">
        <v>0</v>
      </c>
      <c r="P6" s="12" t="n">
        <v>0</v>
      </c>
      <c r="Q6" s="12" t="n">
        <v>2.63</v>
      </c>
      <c r="R6" s="12" t="n">
        <v>0</v>
      </c>
      <c r="S6" t="b">
        <v>1</v>
      </c>
      <c r="T6" t="b">
        <v>0</v>
      </c>
      <c r="U6">
        <f>G6/(G6+F6)</f>
        <v/>
      </c>
      <c r="V6">
        <f>M6+Q6+O6+P6+I6+R6</f>
        <v/>
      </c>
      <c r="W6" s="24">
        <f t="array" ref="W6">SUMPRODUCT(I6:R6/100,$I$21:$R$21)</f>
        <v/>
      </c>
      <c r="X6" s="24">
        <f t="array" ref="X6">SUMPRODUCT(I6:R6/100,$I$22:$R$22)</f>
        <v/>
      </c>
      <c r="Y6" s="24">
        <f t="array" ref="Y6">SUMPRODUCT(I6:R6/100,$I$24:$R$24)</f>
        <v/>
      </c>
      <c r="Z6" s="24">
        <f t="array" ref="Z6">SUMPRODUCT(I6:R6/100,$I$25:$R$25)</f>
        <v/>
      </c>
      <c r="AA6" s="24">
        <f t="array" ref="AA6">SUMPRODUCT(I6:R6/100,$I$26:$R$26)</f>
        <v/>
      </c>
      <c r="AB6" s="24">
        <f t="array" ref="AB6">SUMPRODUCT(I6:R6/100,$I$27:$R$27)</f>
        <v/>
      </c>
      <c r="AC6" s="24">
        <f t="array" ref="AC6">SUMPRODUCT(I6:R6/100,$I$28:$R$28)</f>
        <v/>
      </c>
      <c r="AD6" s="24">
        <f t="array" ref="AD6">SUMPRODUCT(I6:R6/100,$I$29:$R$29)</f>
        <v/>
      </c>
    </row>
    <row r="7">
      <c r="A7" t="n">
        <v>20</v>
      </c>
      <c r="B7" s="14" t="n">
        <v>7.155556</v>
      </c>
      <c r="C7" s="14" t="n">
        <v>5.400348</v>
      </c>
      <c r="D7" s="14" t="n">
        <v>7.740455</v>
      </c>
      <c r="E7" s="15" t="n">
        <v>11268.56737256268</v>
      </c>
      <c r="F7" s="15" t="n">
        <v>5188.418467426241</v>
      </c>
      <c r="G7" s="15" t="n">
        <v>898.1106218074992</v>
      </c>
      <c r="H7" s="24" t="n">
        <v>5182.038283328938</v>
      </c>
      <c r="I7" s="12" t="n">
        <v>7.08</v>
      </c>
      <c r="J7" s="12" t="n">
        <v>0.14</v>
      </c>
      <c r="K7" s="12" t="n">
        <v>1.83</v>
      </c>
      <c r="L7" s="12" t="n">
        <v>3.08</v>
      </c>
      <c r="M7" s="12" t="n">
        <v>20</v>
      </c>
      <c r="N7" s="12" t="n">
        <v>64.95</v>
      </c>
      <c r="O7" s="12" t="n">
        <v>0</v>
      </c>
      <c r="P7" s="12" t="n">
        <v>0</v>
      </c>
      <c r="Q7" s="12" t="n">
        <v>2.92</v>
      </c>
      <c r="R7" s="12" t="n">
        <v>0</v>
      </c>
      <c r="S7" t="b">
        <v>0</v>
      </c>
      <c r="T7" t="b">
        <v>1</v>
      </c>
      <c r="U7">
        <f>G7/(G7+F7)</f>
        <v/>
      </c>
      <c r="V7">
        <f>M7+Q7+O7+P7+I7+R7</f>
        <v/>
      </c>
      <c r="W7" s="24">
        <f t="array" ref="W7">SUMPRODUCT(I7:R7/100,$I$21:$R$21)</f>
        <v/>
      </c>
      <c r="X7" s="24">
        <f t="array" ref="X7">SUMPRODUCT(I7:R7/100,$I$22:$R$22)</f>
        <v/>
      </c>
      <c r="Y7" s="24">
        <f t="array" ref="Y7">SUMPRODUCT(I7:R7/100,$I$24:$R$24)</f>
        <v/>
      </c>
      <c r="Z7" s="24">
        <f t="array" ref="Z7">SUMPRODUCT(I7:R7/100,$I$25:$R$25)</f>
        <v/>
      </c>
      <c r="AA7" s="24">
        <f t="array" ref="AA7">SUMPRODUCT(I7:R7/100,$I$26:$R$26)</f>
        <v/>
      </c>
      <c r="AB7" s="24">
        <f t="array" ref="AB7">SUMPRODUCT(I7:R7/100,$I$27:$R$27)</f>
        <v/>
      </c>
      <c r="AC7" s="24">
        <f t="array" ref="AC7">SUMPRODUCT(I7:R7/100,$I$28:$R$28)</f>
        <v/>
      </c>
      <c r="AD7" s="24">
        <f t="array" ref="AD7">SUMPRODUCT(I7:R7/100,$I$29:$R$29)</f>
        <v/>
      </c>
    </row>
    <row r="8">
      <c r="A8" t="n">
        <v>20</v>
      </c>
      <c r="B8" s="14" t="n">
        <v>7.155556</v>
      </c>
      <c r="C8" s="14" t="n">
        <v>5.400348</v>
      </c>
      <c r="D8" s="14" t="n">
        <v>7.740455</v>
      </c>
      <c r="E8" s="15" t="n">
        <v>9440.65986113749</v>
      </c>
      <c r="F8" s="15" t="n">
        <v>5180.626975062132</v>
      </c>
      <c r="G8" s="15" t="n">
        <v>899.0021021203529</v>
      </c>
      <c r="H8" s="24" t="n">
        <v>3361.030783955005</v>
      </c>
      <c r="I8" s="12" t="n">
        <v>7.37</v>
      </c>
      <c r="J8" s="12" t="n">
        <v>0</v>
      </c>
      <c r="K8" s="12" t="n">
        <v>2.11</v>
      </c>
      <c r="L8" s="12" t="n">
        <v>3.37</v>
      </c>
      <c r="M8" s="12" t="n">
        <v>20</v>
      </c>
      <c r="N8" s="12" t="n">
        <v>64.52</v>
      </c>
      <c r="O8" s="12" t="n">
        <v>0</v>
      </c>
      <c r="P8" s="12" t="n">
        <v>0</v>
      </c>
      <c r="Q8" s="12" t="n">
        <v>2.63</v>
      </c>
      <c r="R8" s="12" t="n">
        <v>0</v>
      </c>
      <c r="S8" t="b">
        <v>1</v>
      </c>
      <c r="T8" t="b">
        <v>1</v>
      </c>
      <c r="U8">
        <f>G8/(G8+F8)</f>
        <v/>
      </c>
      <c r="V8">
        <f>M8+Q8+O8+P8+I8+R8</f>
        <v/>
      </c>
      <c r="W8" s="24">
        <f t="array" ref="W8">SUMPRODUCT(I8:R8/100,$I$21:$R$21)</f>
        <v/>
      </c>
      <c r="X8" s="24">
        <f t="array" ref="X8">SUMPRODUCT(I8:R8/100,$I$22:$R$22)</f>
        <v/>
      </c>
      <c r="Y8" s="24">
        <f t="array" ref="Y8">SUMPRODUCT(I8:R8/100,$I$24:$R$24)</f>
        <v/>
      </c>
      <c r="Z8" s="24">
        <f t="array" ref="Z8">SUMPRODUCT(I8:R8/100,$I$25:$R$25)</f>
        <v/>
      </c>
      <c r="AA8" s="24">
        <f t="array" ref="AA8">SUMPRODUCT(I8:R8/100,$I$26:$R$26)</f>
        <v/>
      </c>
      <c r="AB8" s="24">
        <f t="array" ref="AB8">SUMPRODUCT(I8:R8/100,$I$27:$R$27)</f>
        <v/>
      </c>
      <c r="AC8" s="24">
        <f t="array" ref="AC8">SUMPRODUCT(I8:R8/100,$I$28:$R$28)</f>
        <v/>
      </c>
      <c r="AD8" s="24">
        <f t="array" ref="AD8">SUMPRODUCT(I8:R8/100,$I$29:$R$29)</f>
        <v/>
      </c>
    </row>
    <row r="9">
      <c r="A9" t="n">
        <v>23</v>
      </c>
      <c r="B9" s="14" t="n">
        <v>7.155556</v>
      </c>
      <c r="C9" s="14" t="n">
        <v>5.400348</v>
      </c>
      <c r="D9" s="14" t="n">
        <v>7.740455</v>
      </c>
      <c r="E9" s="15" t="n">
        <v>8266.647717153262</v>
      </c>
      <c r="F9" s="15" t="n">
        <v>4434.981064055155</v>
      </c>
      <c r="G9" s="15" t="n">
        <v>778.3846186935406</v>
      </c>
      <c r="H9" s="24" t="n">
        <v>3053.282034404567</v>
      </c>
      <c r="I9" s="12" t="n">
        <v>7.32</v>
      </c>
      <c r="J9" s="12" t="n">
        <v>0</v>
      </c>
      <c r="K9" s="12" t="n">
        <v>2.04</v>
      </c>
      <c r="L9" s="12" t="n">
        <v>36.01</v>
      </c>
      <c r="M9" s="12" t="n">
        <v>20</v>
      </c>
      <c r="N9" s="12" t="n">
        <v>34.62</v>
      </c>
      <c r="O9" s="12" t="n">
        <v>0</v>
      </c>
      <c r="P9" s="12" t="n">
        <v>0</v>
      </c>
      <c r="Q9" s="12" t="n">
        <v>0</v>
      </c>
      <c r="R9" s="12" t="n">
        <v>0</v>
      </c>
      <c r="S9" t="b">
        <v>1</v>
      </c>
      <c r="T9" t="b">
        <v>1</v>
      </c>
      <c r="U9">
        <f>G9/(G9+F9)</f>
        <v/>
      </c>
      <c r="V9">
        <f>M9+Q9+O9+P9+I9+R9</f>
        <v/>
      </c>
      <c r="W9" s="24">
        <f t="array" ref="W9">SUMPRODUCT(I9:R9/100,$I$21:$R$21)</f>
        <v/>
      </c>
      <c r="X9" s="24">
        <f t="array" ref="X9">SUMPRODUCT(I9:R9/100,$I$22:$R$22)</f>
        <v/>
      </c>
      <c r="Y9" s="24">
        <f t="array" ref="Y9">SUMPRODUCT(I9:R9/100,$I$24:$R$24)</f>
        <v/>
      </c>
      <c r="Z9" s="24">
        <f t="array" ref="Z9">SUMPRODUCT(I9:R9/100,$I$25:$R$25)</f>
        <v/>
      </c>
      <c r="AA9" s="24">
        <f t="array" ref="AA9">SUMPRODUCT(I9:R9/100,$I$26:$R$26)</f>
        <v/>
      </c>
      <c r="AB9" s="24">
        <f t="array" ref="AB9">SUMPRODUCT(I9:R9/100,$I$27:$R$27)</f>
        <v/>
      </c>
      <c r="AC9" s="24">
        <f t="array" ref="AC9">SUMPRODUCT(I9:R9/100,$I$28:$R$28)</f>
        <v/>
      </c>
      <c r="AD9" s="24">
        <f t="array" ref="AD9">SUMPRODUCT(I9:R9/100,$I$29:$R$29)</f>
        <v/>
      </c>
    </row>
    <row r="10">
      <c r="A10" t="n">
        <v>25</v>
      </c>
      <c r="B10" s="14" t="n">
        <v>7.155556</v>
      </c>
      <c r="C10" s="14" t="n">
        <v>5.400348</v>
      </c>
      <c r="D10" s="14" t="n">
        <v>7.740455</v>
      </c>
      <c r="E10" s="15" t="n">
        <v>7664.078685582508</v>
      </c>
      <c r="F10" s="15" t="n">
        <v>4077.39664264542</v>
      </c>
      <c r="G10" s="15" t="n">
        <v>713.8506894720521</v>
      </c>
      <c r="H10" s="24" t="n">
        <v>2872.831353465036</v>
      </c>
      <c r="I10" s="12" t="n">
        <v>7.32</v>
      </c>
      <c r="J10" s="12" t="n">
        <v>0</v>
      </c>
      <c r="K10" s="12" t="n">
        <v>2.22</v>
      </c>
      <c r="L10" s="12" t="n">
        <v>34.72</v>
      </c>
      <c r="M10" s="12" t="n">
        <v>20</v>
      </c>
      <c r="N10" s="12" t="n">
        <v>35.74</v>
      </c>
      <c r="O10" s="12" t="n">
        <v>0</v>
      </c>
      <c r="P10" s="12" t="n">
        <v>0</v>
      </c>
      <c r="Q10" s="12" t="n">
        <v>0</v>
      </c>
      <c r="R10" s="12" t="n">
        <v>0</v>
      </c>
      <c r="S10" t="b">
        <v>1</v>
      </c>
      <c r="T10" t="b">
        <v>1</v>
      </c>
      <c r="U10">
        <f>G10/(G10+F10)</f>
        <v/>
      </c>
      <c r="V10">
        <f>M10+Q10+O10+P10+I10+R10</f>
        <v/>
      </c>
      <c r="W10" s="24">
        <f t="array" ref="W10">SUMPRODUCT(I10:R10/100,$I$21:$R$21)</f>
        <v/>
      </c>
      <c r="X10" s="24">
        <f t="array" ref="X10">SUMPRODUCT(I10:R10/100,$I$22:$R$22)</f>
        <v/>
      </c>
      <c r="Y10" s="24">
        <f t="array" ref="Y10">SUMPRODUCT(I10:R10/100,$I$24:$R$24)</f>
        <v/>
      </c>
      <c r="Z10" s="24">
        <f t="array" ref="Z10">SUMPRODUCT(I10:R10/100,$I$25:$R$25)</f>
        <v/>
      </c>
      <c r="AA10" s="24">
        <f t="array" ref="AA10">SUMPRODUCT(I10:R10/100,$I$26:$R$26)</f>
        <v/>
      </c>
      <c r="AB10" s="24">
        <f t="array" ref="AB10">SUMPRODUCT(I10:R10/100,$I$27:$R$27)</f>
        <v/>
      </c>
      <c r="AC10" s="24">
        <f t="array" ref="AC10">SUMPRODUCT(I10:R10/100,$I$28:$R$28)</f>
        <v/>
      </c>
      <c r="AD10" s="24">
        <f t="array" ref="AD10">SUMPRODUCT(I10:R10/100,$I$29:$R$29)</f>
        <v/>
      </c>
    </row>
    <row r="11">
      <c r="A11" t="n">
        <v>28</v>
      </c>
      <c r="B11" s="14" t="n">
        <v>7.155556</v>
      </c>
      <c r="C11" s="14" t="n">
        <v>5.400348</v>
      </c>
      <c r="D11" s="14" t="n">
        <v>7.740455</v>
      </c>
      <c r="E11" s="15" t="n">
        <v>6901.825107144825</v>
      </c>
      <c r="F11" s="15" t="n">
        <v>3636.80155197985</v>
      </c>
      <c r="G11" s="15" t="n">
        <v>634.5758590118093</v>
      </c>
      <c r="H11" s="24" t="n">
        <v>2630.447696153165</v>
      </c>
      <c r="I11" s="12" t="n">
        <v>7.31</v>
      </c>
      <c r="J11" s="12" t="n">
        <v>0</v>
      </c>
      <c r="K11" s="12" t="n">
        <v>2.49</v>
      </c>
      <c r="L11" s="12" t="n">
        <v>32.77</v>
      </c>
      <c r="M11" s="12" t="n">
        <v>20</v>
      </c>
      <c r="N11" s="12" t="n">
        <v>37.43</v>
      </c>
      <c r="O11" s="12" t="n">
        <v>0</v>
      </c>
      <c r="P11" s="12" t="n">
        <v>0</v>
      </c>
      <c r="Q11" s="12" t="n">
        <v>0</v>
      </c>
      <c r="R11" s="12" t="n">
        <v>0</v>
      </c>
      <c r="S11" t="b">
        <v>1</v>
      </c>
      <c r="T11" t="b">
        <v>1</v>
      </c>
      <c r="U11">
        <f>G11/(G11+F11)</f>
        <v/>
      </c>
      <c r="V11">
        <f>M11+Q11+O11+P11+I11+R11</f>
        <v/>
      </c>
      <c r="W11" s="24">
        <f t="array" ref="W11">SUMPRODUCT(I11:R11/100,$I$21:$R$21)</f>
        <v/>
      </c>
      <c r="X11" s="24">
        <f t="array" ref="X11">SUMPRODUCT(I11:R11/100,$I$22:$R$22)</f>
        <v/>
      </c>
      <c r="Y11" s="24">
        <f t="array" ref="Y11">SUMPRODUCT(I11:R11/100,$I$24:$R$24)</f>
        <v/>
      </c>
      <c r="Z11" s="24">
        <f t="array" ref="Z11">SUMPRODUCT(I11:R11/100,$I$25:$R$25)</f>
        <v/>
      </c>
      <c r="AA11" s="24">
        <f t="array" ref="AA11">SUMPRODUCT(I11:R11/100,$I$26:$R$26)</f>
        <v/>
      </c>
      <c r="AB11" s="24">
        <f t="array" ref="AB11">SUMPRODUCT(I11:R11/100,$I$27:$R$27)</f>
        <v/>
      </c>
      <c r="AC11" s="24">
        <f t="array" ref="AC11">SUMPRODUCT(I11:R11/100,$I$28:$R$28)</f>
        <v/>
      </c>
      <c r="AD11" s="24">
        <f t="array" ref="AD11">SUMPRODUCT(I11:R11/100,$I$29:$R$29)</f>
        <v/>
      </c>
    </row>
    <row r="12">
      <c r="A12" t="n">
        <v>30</v>
      </c>
      <c r="B12" s="14" t="n">
        <v>7.155556</v>
      </c>
      <c r="C12" s="14" t="n">
        <v>5.400348</v>
      </c>
      <c r="D12" s="14" t="n">
        <v>7.740455</v>
      </c>
      <c r="E12" s="15" t="n">
        <v>6468.915736057124</v>
      </c>
      <c r="F12" s="15" t="n">
        <v>3392.026501610092</v>
      </c>
      <c r="G12" s="15" t="n">
        <v>590.8211184704101</v>
      </c>
      <c r="H12" s="24" t="n">
        <v>2486.068115976623</v>
      </c>
      <c r="I12" s="12" t="n">
        <v>7.31</v>
      </c>
      <c r="J12" s="12" t="n">
        <v>0</v>
      </c>
      <c r="K12" s="12" t="n">
        <v>2.67</v>
      </c>
      <c r="L12" s="12" t="n">
        <v>31.48</v>
      </c>
      <c r="M12" s="12" t="n">
        <v>20</v>
      </c>
      <c r="N12" s="12" t="n">
        <v>38.55</v>
      </c>
      <c r="O12" s="12" t="n">
        <v>0</v>
      </c>
      <c r="P12" s="12" t="n">
        <v>0</v>
      </c>
      <c r="Q12" s="12" t="n">
        <v>0</v>
      </c>
      <c r="R12" s="12" t="n">
        <v>0</v>
      </c>
      <c r="S12" t="b">
        <v>1</v>
      </c>
      <c r="T12" t="b">
        <v>1</v>
      </c>
      <c r="U12">
        <f>G12/(G12+F12)</f>
        <v/>
      </c>
      <c r="V12">
        <f>M12+Q12+O12+P12+I12+R12</f>
        <v/>
      </c>
      <c r="W12" s="24">
        <f t="array" ref="W12">SUMPRODUCT(I12:R12/100,$I$21:$R$21)</f>
        <v/>
      </c>
      <c r="X12" s="24">
        <f t="array" ref="X12">SUMPRODUCT(I12:R12/100,$I$22:$R$22)</f>
        <v/>
      </c>
      <c r="Y12" s="24">
        <f t="array" ref="Y12">SUMPRODUCT(I12:R12/100,$I$24:$R$24)</f>
        <v/>
      </c>
      <c r="Z12" s="24">
        <f t="array" ref="Z12">SUMPRODUCT(I12:R12/100,$I$25:$R$25)</f>
        <v/>
      </c>
      <c r="AA12" s="24">
        <f t="array" ref="AA12">SUMPRODUCT(I12:R12/100,$I$26:$R$26)</f>
        <v/>
      </c>
      <c r="AB12" s="24">
        <f t="array" ref="AB12">SUMPRODUCT(I12:R12/100,$I$27:$R$27)</f>
        <v/>
      </c>
      <c r="AC12" s="24">
        <f t="array" ref="AC12">SUMPRODUCT(I12:R12/100,$I$28:$R$28)</f>
        <v/>
      </c>
      <c r="AD12" s="24">
        <f t="array" ref="AD12">SUMPRODUCT(I12:R12/100,$I$29:$R$29)</f>
        <v/>
      </c>
    </row>
    <row r="13">
      <c r="A13" t="n">
        <v>33</v>
      </c>
      <c r="B13" s="14" t="n">
        <v>7.155556</v>
      </c>
      <c r="C13" s="14" t="n">
        <v>5.400348</v>
      </c>
      <c r="D13" s="14" t="n">
        <v>7.740455</v>
      </c>
      <c r="E13" s="15" t="n">
        <v>5908.342779619456</v>
      </c>
      <c r="F13" s="15" t="n">
        <v>3080.494619321305</v>
      </c>
      <c r="G13" s="15" t="n">
        <v>535.8105233700591</v>
      </c>
      <c r="H13" s="24" t="n">
        <v>2292.037636928091</v>
      </c>
      <c r="I13" s="12" t="n">
        <v>7.3</v>
      </c>
      <c r="J13" s="12" t="n">
        <v>0</v>
      </c>
      <c r="K13" s="12" t="n">
        <v>2.93</v>
      </c>
      <c r="L13" s="12" t="n">
        <v>29.53</v>
      </c>
      <c r="M13" s="12" t="n">
        <v>20</v>
      </c>
      <c r="N13" s="12" t="n">
        <v>40.23</v>
      </c>
      <c r="O13" s="12" t="n">
        <v>0</v>
      </c>
      <c r="P13" s="12" t="n">
        <v>0</v>
      </c>
      <c r="Q13" s="12" t="n">
        <v>0</v>
      </c>
      <c r="R13" s="12" t="n">
        <v>0</v>
      </c>
      <c r="S13" t="b">
        <v>1</v>
      </c>
      <c r="T13" t="b">
        <v>1</v>
      </c>
      <c r="U13">
        <f>G13/(G13+F13)</f>
        <v/>
      </c>
      <c r="V13">
        <f>M13+Q13+O13+P13+I13+R13</f>
        <v/>
      </c>
      <c r="W13" s="24">
        <f t="array" ref="W13">SUMPRODUCT(I13:R13/100,$I$21:$R$21)</f>
        <v/>
      </c>
      <c r="X13" s="24">
        <f t="array" ref="X13">SUMPRODUCT(I13:R13/100,$I$22:$R$22)</f>
        <v/>
      </c>
      <c r="Y13" s="24">
        <f t="array" ref="Y13">SUMPRODUCT(I13:R13/100,$I$24:$R$24)</f>
        <v/>
      </c>
      <c r="Z13" s="24">
        <f t="array" ref="Z13">SUMPRODUCT(I13:R13/100,$I$25:$R$25)</f>
        <v/>
      </c>
      <c r="AA13" s="24">
        <f t="array" ref="AA13">SUMPRODUCT(I13:R13/100,$I$26:$R$26)</f>
        <v/>
      </c>
      <c r="AB13" s="24">
        <f t="array" ref="AB13">SUMPRODUCT(I13:R13/100,$I$27:$R$27)</f>
        <v/>
      </c>
      <c r="AC13" s="24">
        <f t="array" ref="AC13">SUMPRODUCT(I13:R13/100,$I$28:$R$28)</f>
        <v/>
      </c>
      <c r="AD13" s="24">
        <f t="array" ref="AD13">SUMPRODUCT(I13:R13/100,$I$29:$R$29)</f>
        <v/>
      </c>
    </row>
    <row r="14">
      <c r="A14" t="n">
        <v>35.00000000000001</v>
      </c>
      <c r="B14" s="14" t="n">
        <v>7.155556</v>
      </c>
      <c r="C14" s="14" t="n">
        <v>5.400348</v>
      </c>
      <c r="D14" s="14" t="n">
        <v>7.740455</v>
      </c>
      <c r="E14" s="15" t="n">
        <v>5476.771057200848</v>
      </c>
      <c r="F14" s="15" t="n">
        <v>2790.649919134928</v>
      </c>
      <c r="G14" s="15" t="n">
        <v>504.9406488028161</v>
      </c>
      <c r="H14" s="24" t="n">
        <v>2181.180489263104</v>
      </c>
      <c r="I14" s="12" t="n">
        <v>7.09</v>
      </c>
      <c r="J14" s="12" t="n">
        <v>0</v>
      </c>
      <c r="K14" s="12" t="n">
        <v>3.11</v>
      </c>
      <c r="L14" s="12" t="n">
        <v>73.01000000000001</v>
      </c>
      <c r="M14" s="12" t="n">
        <v>16.79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t="b">
        <v>1</v>
      </c>
      <c r="T14" t="b">
        <v>1</v>
      </c>
      <c r="U14">
        <f>G14/(G14+F14)</f>
        <v/>
      </c>
      <c r="V14">
        <f>M14+Q14+O14+P14+I14+R14</f>
        <v/>
      </c>
      <c r="W14" s="24">
        <f t="array" ref="W14">SUMPRODUCT(I14:R14/100,$I$21:$R$21)</f>
        <v/>
      </c>
      <c r="X14" s="24">
        <f t="array" ref="X14">SUMPRODUCT(I14:R14/100,$I$22:$R$22)</f>
        <v/>
      </c>
      <c r="Y14" s="24">
        <f t="array" ref="Y14">SUMPRODUCT(I14:R14/100,$I$24:$R$24)</f>
        <v/>
      </c>
      <c r="Z14" s="24">
        <f t="array" ref="Z14">SUMPRODUCT(I14:R14/100,$I$25:$R$25)</f>
        <v/>
      </c>
      <c r="AA14" s="24">
        <f t="array" ref="AA14">SUMPRODUCT(I14:R14/100,$I$26:$R$26)</f>
        <v/>
      </c>
      <c r="AB14" s="24">
        <f t="array" ref="AB14">SUMPRODUCT(I14:R14/100,$I$27:$R$27)</f>
        <v/>
      </c>
      <c r="AC14" s="24">
        <f t="array" ref="AC14">SUMPRODUCT(I14:R14/100,$I$28:$R$28)</f>
        <v/>
      </c>
      <c r="AD14" s="24">
        <f t="array" ref="AD14">SUMPRODUCT(I14:R14/100,$I$29:$R$29)</f>
        <v/>
      </c>
    </row>
    <row r="15">
      <c r="A15" t="n">
        <v>40</v>
      </c>
      <c r="B15" s="14" t="n">
        <v>7.155556</v>
      </c>
      <c r="C15" s="14" t="n">
        <v>5.400348</v>
      </c>
      <c r="D15" s="14" t="n">
        <v>7.740455</v>
      </c>
      <c r="E15" s="15" t="n">
        <v>4816.802944235866</v>
      </c>
      <c r="F15" s="15" t="n">
        <v>2430.826994322293</v>
      </c>
      <c r="G15" s="15" t="n">
        <v>440.3177917296553</v>
      </c>
      <c r="H15" s="24" t="n">
        <v>1945.658158183917</v>
      </c>
      <c r="I15" s="12" t="n">
        <v>7.07</v>
      </c>
      <c r="J15" s="12" t="n">
        <v>0</v>
      </c>
      <c r="K15" s="12" t="n">
        <v>3.55</v>
      </c>
      <c r="L15" s="12" t="n">
        <v>72.81</v>
      </c>
      <c r="M15" s="12" t="n">
        <v>16.57</v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t="b">
        <v>1</v>
      </c>
      <c r="T15" t="b">
        <v>1</v>
      </c>
      <c r="U15">
        <f>G15/(G15+F15)</f>
        <v/>
      </c>
      <c r="V15">
        <f>M15+Q15+O15+P15+I15+R15</f>
        <v/>
      </c>
      <c r="W15" s="24">
        <f t="array" ref="W15">SUMPRODUCT(I15:R15/100,$I$21:$R$21)</f>
        <v/>
      </c>
      <c r="X15" s="24">
        <f t="array" ref="X15">SUMPRODUCT(I15:R15/100,$I$22:$R$22)</f>
        <v/>
      </c>
      <c r="Y15" s="24">
        <f t="array" ref="Y15">SUMPRODUCT(I15:R15/100,$I$24:$R$24)</f>
        <v/>
      </c>
      <c r="Z15" s="24">
        <f t="array" ref="Z15">SUMPRODUCT(I15:R15/100,$I$25:$R$25)</f>
        <v/>
      </c>
      <c r="AA15" s="24">
        <f t="array" ref="AA15">SUMPRODUCT(I15:R15/100,$I$26:$R$26)</f>
        <v/>
      </c>
      <c r="AB15" s="24">
        <f t="array" ref="AB15">SUMPRODUCT(I15:R15/100,$I$27:$R$27)</f>
        <v/>
      </c>
      <c r="AC15" s="24">
        <f t="array" ref="AC15">SUMPRODUCT(I15:R15/100,$I$28:$R$28)</f>
        <v/>
      </c>
      <c r="AD15" s="24">
        <f t="array" ref="AD15">SUMPRODUCT(I15:R15/100,$I$29:$R$29)</f>
        <v/>
      </c>
    </row>
    <row r="16">
      <c r="A16" t="n">
        <v>45</v>
      </c>
      <c r="B16" s="14" t="n">
        <v>7.155556</v>
      </c>
      <c r="C16" s="14" t="n">
        <v>5.400348</v>
      </c>
      <c r="D16" s="14" t="n">
        <v>7.740455</v>
      </c>
      <c r="E16" s="15" t="n">
        <v>4292.654806455896</v>
      </c>
      <c r="F16" s="15" t="n">
        <v>2150.96471946802</v>
      </c>
      <c r="G16" s="15" t="n">
        <v>390.3480898865861</v>
      </c>
      <c r="H16" s="24" t="n">
        <v>1751.34199710129</v>
      </c>
      <c r="I16" s="12" t="n">
        <v>7.04</v>
      </c>
      <c r="J16" s="12" t="n">
        <v>0</v>
      </c>
      <c r="K16" s="12" t="n">
        <v>4</v>
      </c>
      <c r="L16" s="12" t="n">
        <v>72.61</v>
      </c>
      <c r="M16" s="12" t="n">
        <v>16.35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t="b">
        <v>1</v>
      </c>
      <c r="T16" t="b">
        <v>1</v>
      </c>
      <c r="U16">
        <f>G16/(G16+F16)</f>
        <v/>
      </c>
      <c r="V16">
        <f>M16+Q16+O16+P16+I16+R16</f>
        <v/>
      </c>
      <c r="W16" s="24">
        <f t="array" ref="W16">SUMPRODUCT(I16:R16/100,$I$21:$R$21)</f>
        <v/>
      </c>
      <c r="X16" s="24">
        <f t="array" ref="X16">SUMPRODUCT(I16:R16/100,$I$22:$R$22)</f>
        <v/>
      </c>
      <c r="Y16" s="24">
        <f t="array" ref="Y16">SUMPRODUCT(I16:R16/100,$I$24:$R$24)</f>
        <v/>
      </c>
      <c r="Z16" s="24">
        <f t="array" ref="Z16">SUMPRODUCT(I16:R16/100,$I$25:$R$25)</f>
        <v/>
      </c>
      <c r="AA16" s="24">
        <f t="array" ref="AA16">SUMPRODUCT(I16:R16/100,$I$26:$R$26)</f>
        <v/>
      </c>
      <c r="AB16" s="24">
        <f t="array" ref="AB16">SUMPRODUCT(I16:R16/100,$I$27:$R$27)</f>
        <v/>
      </c>
      <c r="AC16" s="24">
        <f t="array" ref="AC16">SUMPRODUCT(I16:R16/100,$I$28:$R$28)</f>
        <v/>
      </c>
      <c r="AD16" s="24">
        <f t="array" ref="AD16">SUMPRODUCT(I16:R16/100,$I$29:$R$29)</f>
        <v/>
      </c>
    </row>
    <row r="17">
      <c r="A17" t="n">
        <v>50</v>
      </c>
      <c r="B17" s="14" t="n">
        <v>7.155556</v>
      </c>
      <c r="C17" s="14" t="n">
        <v>5.400348</v>
      </c>
      <c r="D17" s="14" t="n">
        <v>7.740455</v>
      </c>
      <c r="E17" s="15" t="n">
        <v>3866.73465122923</v>
      </c>
      <c r="F17" s="15" t="n">
        <v>1927.074899584603</v>
      </c>
      <c r="G17" s="15" t="n">
        <v>350.3723284121308</v>
      </c>
      <c r="H17" s="24" t="n">
        <v>1589.287423232496</v>
      </c>
      <c r="I17" s="12" t="n">
        <v>7.02</v>
      </c>
      <c r="J17" s="12" t="n">
        <v>0</v>
      </c>
      <c r="K17" s="12" t="n">
        <v>4.44</v>
      </c>
      <c r="L17" s="12" t="n">
        <v>72.41</v>
      </c>
      <c r="M17" s="12" t="n">
        <v>16.13</v>
      </c>
      <c r="N17" s="12" t="n">
        <v>0</v>
      </c>
      <c r="O17" s="12" t="n">
        <v>0</v>
      </c>
      <c r="P17" s="12" t="n">
        <v>0</v>
      </c>
      <c r="Q17" s="12" t="n">
        <v>0</v>
      </c>
      <c r="R17" s="12" t="n">
        <v>0</v>
      </c>
      <c r="S17" t="b">
        <v>1</v>
      </c>
      <c r="T17" t="b">
        <v>1</v>
      </c>
      <c r="U17">
        <f>G17/(G17+F17)</f>
        <v/>
      </c>
      <c r="V17">
        <f>M17+Q17+O17+P17+I17+R17</f>
        <v/>
      </c>
      <c r="W17" s="24">
        <f t="array" ref="W17">SUMPRODUCT(I17:R17/100,$I$21:$R$21)</f>
        <v/>
      </c>
      <c r="X17" s="24">
        <f t="array" ref="X17">SUMPRODUCT(I17:R17/100,$I$22:$R$22)</f>
        <v/>
      </c>
      <c r="Y17" s="24">
        <f t="array" ref="Y17">SUMPRODUCT(I17:R17/100,$I$24:$R$24)</f>
        <v/>
      </c>
      <c r="Z17" s="24">
        <f t="array" ref="Z17">SUMPRODUCT(I17:R17/100,$I$25:$R$25)</f>
        <v/>
      </c>
      <c r="AA17" s="24">
        <f t="array" ref="AA17">SUMPRODUCT(I17:R17/100,$I$26:$R$26)</f>
        <v/>
      </c>
      <c r="AB17" s="24">
        <f t="array" ref="AB17">SUMPRODUCT(I17:R17/100,$I$27:$R$27)</f>
        <v/>
      </c>
      <c r="AC17" s="24">
        <f t="array" ref="AC17">SUMPRODUCT(I17:R17/100,$I$28:$R$28)</f>
        <v/>
      </c>
      <c r="AD17" s="24">
        <f t="array" ref="AD17">SUMPRODUCT(I17:R17/100,$I$29:$R$29)</f>
        <v/>
      </c>
    </row>
    <row r="18">
      <c r="A18" s="5" t="n"/>
      <c r="E18" s="16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U18" s="16" t="n"/>
    </row>
    <row r="19">
      <c r="A19" s="5" t="n"/>
      <c r="I19" s="18" t="n"/>
      <c r="K19" s="18" t="n"/>
      <c r="L19" s="21" t="n"/>
      <c r="M19" s="20" t="n"/>
      <c r="O19" s="18" t="n"/>
      <c r="P19" s="18" t="n"/>
      <c r="Q19" s="18" t="n"/>
      <c r="R19" s="18" t="n"/>
    </row>
    <row r="20">
      <c r="C20" s="23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</row>
    <row r="21">
      <c r="C21" s="23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</row>
    <row r="22"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</row>
    <row r="23">
      <c r="L23" s="16" t="n"/>
      <c r="M23" s="16" t="n"/>
    </row>
    <row r="24">
      <c r="L24" s="21" t="n"/>
      <c r="M24" s="21" t="n"/>
    </row>
    <row r="25">
      <c r="I25" s="19" t="n"/>
      <c r="J25" s="19" t="n"/>
      <c r="K25" s="19" t="n"/>
      <c r="L25" s="22" t="n"/>
      <c r="M25" s="22" t="n"/>
      <c r="N25" s="19" t="n"/>
      <c r="O25" s="19" t="n"/>
      <c r="P25" s="19" t="n"/>
      <c r="Q25" s="19" t="n"/>
      <c r="R25" s="19" t="n"/>
      <c r="S25" s="14" t="n"/>
      <c r="T25" s="14" t="n"/>
      <c r="U25" s="14" t="n"/>
      <c r="V25" s="14" t="n"/>
      <c r="W25" s="14" t="n"/>
      <c r="X25" s="14" t="n"/>
    </row>
    <row r="26">
      <c r="I26" s="20" t="n"/>
      <c r="J26" s="18" t="n"/>
      <c r="K26" s="18" t="n"/>
      <c r="L26" s="21" t="n"/>
      <c r="M26" s="21" t="n"/>
      <c r="N26" s="18" t="n"/>
      <c r="O26" s="18" t="n"/>
      <c r="P26" s="18" t="n"/>
      <c r="Q26" s="18" t="n"/>
      <c r="R26" s="18" t="n"/>
      <c r="S26" s="14" t="n"/>
      <c r="T26" s="14" t="n"/>
      <c r="U26" s="14" t="n"/>
      <c r="V26" s="14" t="n"/>
      <c r="W26" s="14" t="n"/>
      <c r="X26" s="14" t="n"/>
    </row>
    <row r="27">
      <c r="I27" s="18" t="n"/>
      <c r="J27" s="18" t="n"/>
      <c r="K27" s="18" t="n"/>
      <c r="L27" s="21" t="n"/>
      <c r="M27" s="21" t="n"/>
      <c r="N27" s="18" t="n"/>
      <c r="O27" s="18" t="n"/>
      <c r="P27" s="18" t="n"/>
      <c r="Q27" s="18" t="n"/>
      <c r="R27" s="18" t="n"/>
      <c r="S27" s="14" t="n"/>
      <c r="T27" s="14" t="n"/>
      <c r="U27" s="14" t="n"/>
      <c r="V27" s="14" t="n"/>
      <c r="W27" s="14" t="n"/>
      <c r="X27" s="14" t="n"/>
    </row>
    <row r="28">
      <c r="I28" s="18" t="n"/>
      <c r="J28" s="20" t="n"/>
      <c r="K28" s="18" t="n"/>
      <c r="L28" s="21" t="n"/>
      <c r="M28" s="21" t="n"/>
      <c r="N28" s="18" t="n"/>
      <c r="O28" s="18" t="n"/>
      <c r="P28" s="18" t="n"/>
      <c r="Q28" s="18" t="n"/>
      <c r="R28" s="18" t="n"/>
      <c r="S28" s="15" t="n"/>
      <c r="T28" s="15" t="n"/>
      <c r="U28" s="15" t="n"/>
      <c r="V28" s="15" t="n"/>
      <c r="W28" s="15" t="n"/>
      <c r="X28" s="15" t="n"/>
    </row>
    <row r="29">
      <c r="I29" s="18" t="n"/>
      <c r="J29" s="18" t="n"/>
      <c r="K29" s="18" t="n"/>
      <c r="L29" s="21" t="n"/>
      <c r="M29" s="21" t="n"/>
      <c r="N29" s="18" t="n"/>
      <c r="O29" s="18" t="n"/>
      <c r="P29" s="18" t="n"/>
      <c r="Q29" s="18" t="n"/>
      <c r="R29" s="18" t="n"/>
      <c r="S29" s="15" t="n"/>
      <c r="T29" s="15" t="n"/>
      <c r="U29" s="15" t="n"/>
      <c r="V29" s="15" t="n"/>
      <c r="W29" s="15" t="n"/>
      <c r="X29" s="15" t="n"/>
    </row>
    <row r="30">
      <c r="I30" s="20" t="n"/>
      <c r="J30" s="18" t="n"/>
      <c r="K30" s="18" t="n"/>
      <c r="L30" s="21" t="n"/>
      <c r="M30" s="21" t="n"/>
      <c r="N30" s="20" t="n"/>
      <c r="O30" s="20" t="n"/>
      <c r="P30" s="20" t="n"/>
      <c r="Q30" s="20" t="n"/>
      <c r="R30" s="20" t="n"/>
      <c r="S30" s="15" t="n"/>
      <c r="T30" s="15" t="n"/>
      <c r="U30" s="15" t="n"/>
      <c r="V30" s="15" t="n"/>
      <c r="W30" s="15" t="n"/>
      <c r="X30" s="15" t="n"/>
    </row>
    <row r="31">
      <c r="S31" s="15" t="n"/>
      <c r="T31" s="15" t="n"/>
      <c r="U31" s="15" t="n"/>
      <c r="V31" s="15" t="n"/>
      <c r="W31" s="15" t="n"/>
      <c r="X31" s="15" t="n"/>
    </row>
    <row r="32"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</row>
    <row r="33"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</row>
    <row r="34"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</row>
    <row r="35"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</row>
    <row r="36"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</row>
    <row r="37"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</row>
    <row r="38"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</row>
    <row r="39"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</row>
    <row r="40"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</row>
    <row r="41"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zoomScale="70" zoomScaleNormal="70" workbookViewId="0">
      <selection activeCell="W32" sqref="W32"/>
    </sheetView>
  </sheetViews>
  <sheetFormatPr baseColWidth="8" defaultRowHeight="14.4"/>
  <cols>
    <col width="11" bestFit="1" customWidth="1" min="5" max="6"/>
    <col width="10.6640625" bestFit="1" customWidth="1" min="22" max="22"/>
    <col width="12" bestFit="1" customWidth="1" min="23" max="23"/>
    <col width="10" bestFit="1" customWidth="1" min="24" max="24"/>
    <col width="12" bestFit="1" customWidth="1" min="28" max="28"/>
  </cols>
  <sheetData>
    <row r="1">
      <c r="A1" s="10" t="inlineStr">
        <is>
          <t>HRT</t>
        </is>
      </c>
      <c r="B1" s="11" t="inlineStr">
        <is>
          <t>Gamma_Z</t>
        </is>
      </c>
      <c r="C1" s="11" t="inlineStr">
        <is>
          <t>Gamma_W</t>
        </is>
      </c>
      <c r="D1" s="11" t="inlineStr">
        <is>
          <t>Gamma_L</t>
        </is>
      </c>
      <c r="E1" s="11" t="inlineStr">
        <is>
          <t>Revenue</t>
        </is>
      </c>
      <c r="F1" s="11" t="inlineStr">
        <is>
          <t>Purchase costs</t>
        </is>
      </c>
      <c r="G1" s="11" t="inlineStr">
        <is>
          <t>Transportation costs</t>
        </is>
      </c>
      <c r="H1" s="11" t="inlineStr">
        <is>
          <t>J</t>
        </is>
      </c>
      <c r="I1" s="5" t="inlineStr">
        <is>
          <t>Barley silage</t>
        </is>
      </c>
      <c r="J1" s="5" t="inlineStr">
        <is>
          <t>Chicken dung</t>
        </is>
      </c>
      <c r="K1" s="5" t="inlineStr">
        <is>
          <t>Cow dung</t>
        </is>
      </c>
      <c r="L1" s="5" t="inlineStr">
        <is>
          <t>Cow slurry</t>
        </is>
      </c>
      <c r="M1" s="5" t="inlineStr">
        <is>
          <t>Maize silage</t>
        </is>
      </c>
      <c r="N1" s="5" t="inlineStr">
        <is>
          <t>Pig slurry</t>
        </is>
      </c>
      <c r="O1" s="5" t="inlineStr">
        <is>
          <t>Sorghum silage</t>
        </is>
      </c>
      <c r="P1" s="5" t="inlineStr">
        <is>
          <t>Tomato peels</t>
        </is>
      </c>
      <c r="Q1" s="5" t="inlineStr">
        <is>
          <t>Triticale silage</t>
        </is>
      </c>
      <c r="R1" s="8" t="inlineStr">
        <is>
          <t>Wheat byproducts</t>
        </is>
      </c>
      <c r="S1" s="5" t="inlineStr">
        <is>
          <t>unc.bmp</t>
        </is>
      </c>
      <c r="T1" s="5" t="inlineStr">
        <is>
          <t>unc.price</t>
        </is>
      </c>
      <c r="W1" s="5" t="inlineStr">
        <is>
          <t>VS</t>
        </is>
      </c>
      <c r="X1" s="5" t="inlineStr">
        <is>
          <t>BMPinf</t>
        </is>
      </c>
      <c r="Y1" s="5" t="inlineStr">
        <is>
          <t>TKN</t>
        </is>
      </c>
      <c r="Z1" s="5" t="inlineStr">
        <is>
          <t>C/N</t>
        </is>
      </c>
      <c r="AA1" s="5" t="inlineStr">
        <is>
          <t>TAN</t>
        </is>
      </c>
      <c r="AB1" s="5" t="inlineStr">
        <is>
          <t>TAC</t>
        </is>
      </c>
      <c r="AC1" s="5" t="inlineStr">
        <is>
          <t>LI</t>
        </is>
      </c>
      <c r="AD1" s="5" t="inlineStr">
        <is>
          <t>TVFA</t>
        </is>
      </c>
    </row>
    <row r="2">
      <c r="A2" t="n">
        <v>40</v>
      </c>
      <c r="E2" t="n">
        <v>5713.551131097018</v>
      </c>
      <c r="F2" t="n">
        <v>1975.163920540127</v>
      </c>
      <c r="G2" t="n">
        <v>442.0616250696227</v>
      </c>
      <c r="H2" t="n">
        <v>3296.325585487268</v>
      </c>
      <c r="I2" t="n">
        <v>2.86</v>
      </c>
      <c r="J2" t="n">
        <v>0</v>
      </c>
      <c r="K2" t="n">
        <v>3.55</v>
      </c>
      <c r="L2" t="n">
        <v>73.58</v>
      </c>
      <c r="M2" t="n">
        <v>20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U2">
        <f>G2/(G2+F2)</f>
        <v/>
      </c>
      <c r="V2">
        <f>M2+Q2+O2+P2+I2+R2</f>
        <v/>
      </c>
      <c r="W2" s="24">
        <f t="array" ref="W2">SUMPRODUCT(I2:R2/100,$I$21:$R$21)</f>
        <v/>
      </c>
      <c r="X2" s="24">
        <f t="array" ref="X2">SUMPRODUCT(I2:R2/100,$I$22:$R$22)</f>
        <v/>
      </c>
      <c r="Y2" s="24">
        <f t="array" ref="Y2">SUMPRODUCT(I2:R2/100,$I$24:$R$24)</f>
        <v/>
      </c>
      <c r="Z2" s="24">
        <f t="array" ref="Z2">SUMPRODUCT(I2:R2/100,$I$25:$R$25)</f>
        <v/>
      </c>
      <c r="AA2" s="24">
        <f t="array" ref="AA2">SUMPRODUCT(I2:R2/100,$I$26:$R$26)</f>
        <v/>
      </c>
      <c r="AB2" s="24">
        <f t="array" ref="AB2">SUMPRODUCT(I2:R2/100,$I$27:$R$27)</f>
        <v/>
      </c>
      <c r="AC2" s="24">
        <f t="array" ref="AC2">SUMPRODUCT(I2:R2/100,$I$28:$R$28)</f>
        <v/>
      </c>
      <c r="AD2" s="24">
        <f t="array" ref="AD2">SUMPRODUCT(I2:R2/100,$I$29:$R$29)</f>
        <v/>
      </c>
    </row>
    <row r="3">
      <c r="A3" t="n">
        <v>30</v>
      </c>
      <c r="E3" t="n">
        <v>7741.691449796736</v>
      </c>
      <c r="F3" t="n">
        <v>2854.135444544951</v>
      </c>
      <c r="G3" t="n">
        <v>588.8869830857568</v>
      </c>
      <c r="H3" t="n">
        <v>4298.669022166028</v>
      </c>
      <c r="I3" t="n">
        <v>7.35</v>
      </c>
      <c r="J3" t="n">
        <v>0</v>
      </c>
      <c r="K3" t="n">
        <v>2.67</v>
      </c>
      <c r="L3" t="n">
        <v>4.61</v>
      </c>
      <c r="M3" t="n">
        <v>20</v>
      </c>
      <c r="N3" t="n">
        <v>63.17</v>
      </c>
      <c r="O3" t="n">
        <v>0</v>
      </c>
      <c r="P3" t="n">
        <v>0</v>
      </c>
      <c r="Q3" t="n">
        <v>2.19</v>
      </c>
      <c r="R3" t="n">
        <v>0</v>
      </c>
      <c r="U3">
        <f>G3/(G3+F3)</f>
        <v/>
      </c>
      <c r="V3">
        <f>M3+Q3+O3+P3+I3+R3</f>
        <v/>
      </c>
      <c r="W3" s="24">
        <f t="array" ref="W3">SUMPRODUCT(I3:R3/100,$I$21:$R$21)</f>
        <v/>
      </c>
      <c r="X3" s="24">
        <f t="array" ref="X3">SUMPRODUCT(I3:R3/100,$I$22:$R$22)</f>
        <v/>
      </c>
      <c r="Y3" s="24">
        <f t="array" ref="Y3">SUMPRODUCT(I3:R3/100,$I$24:$R$24)</f>
        <v/>
      </c>
      <c r="Z3" s="24">
        <f t="array" ref="Z3">SUMPRODUCT(I3:R3/100,$I$25:$R$25)</f>
        <v/>
      </c>
      <c r="AA3" s="24">
        <f t="array" ref="AA3">SUMPRODUCT(I3:R3/100,$I$26:$R$26)</f>
        <v/>
      </c>
      <c r="AB3" s="24">
        <f t="array" ref="AB3">SUMPRODUCT(I3:R3/100,$I$27:$R$27)</f>
        <v/>
      </c>
      <c r="AC3" s="24">
        <f t="array" ref="AC3">SUMPRODUCT(I3:R3/100,$I$28:$R$28)</f>
        <v/>
      </c>
      <c r="AD3" s="24">
        <f t="array" ref="AD3">SUMPRODUCT(I3:R3/100,$I$29:$R$29)</f>
        <v/>
      </c>
    </row>
    <row r="4">
      <c r="A4" t="n">
        <v>24.99999999999999</v>
      </c>
      <c r="E4" t="n">
        <v>9198.468127946238</v>
      </c>
      <c r="F4" t="n">
        <v>3439.586475544541</v>
      </c>
      <c r="G4" t="n">
        <v>711.5177969200503</v>
      </c>
      <c r="H4" t="n">
        <v>5047.363855481647</v>
      </c>
      <c r="I4" t="n">
        <v>7.37</v>
      </c>
      <c r="J4" t="n">
        <v>0</v>
      </c>
      <c r="K4" t="n">
        <v>2.22</v>
      </c>
      <c r="L4" t="n">
        <v>3.84</v>
      </c>
      <c r="M4" t="n">
        <v>20</v>
      </c>
      <c r="N4" t="n">
        <v>64.04000000000001</v>
      </c>
      <c r="O4" t="n">
        <v>0</v>
      </c>
      <c r="P4" t="n">
        <v>0</v>
      </c>
      <c r="Q4" t="n">
        <v>2.52</v>
      </c>
      <c r="R4" t="n">
        <v>0</v>
      </c>
      <c r="U4">
        <f>G4/(G4+F4)</f>
        <v/>
      </c>
      <c r="V4">
        <f>M4+Q4+O4+P4+I4+R4</f>
        <v/>
      </c>
      <c r="W4" s="24">
        <f t="array" ref="W4">SUMPRODUCT(I4:R4/100,$I$21:$R$21)</f>
        <v/>
      </c>
      <c r="X4" s="24">
        <f t="array" ref="X4">SUMPRODUCT(I4:R4/100,$I$22:$R$22)</f>
        <v/>
      </c>
      <c r="Y4" s="24">
        <f t="array" ref="Y4">SUMPRODUCT(I4:R4/100,$I$24:$R$24)</f>
        <v/>
      </c>
      <c r="Z4" s="24">
        <f t="array" ref="Z4">SUMPRODUCT(I4:R4/100,$I$25:$R$25)</f>
        <v/>
      </c>
      <c r="AA4" s="24">
        <f t="array" ref="AA4">SUMPRODUCT(I4:R4/100,$I$26:$R$26)</f>
        <v/>
      </c>
      <c r="AB4" s="24">
        <f t="array" ref="AB4">SUMPRODUCT(I4:R4/100,$I$27:$R$27)</f>
        <v/>
      </c>
      <c r="AC4" s="24">
        <f t="array" ref="AC4">SUMPRODUCT(I4:R4/100,$I$28:$R$28)</f>
        <v/>
      </c>
      <c r="AD4" s="24">
        <f t="array" ref="AD4">SUMPRODUCT(I4:R4/100,$I$29:$R$29)</f>
        <v/>
      </c>
    </row>
    <row r="5">
      <c r="A5" t="n">
        <v>20</v>
      </c>
      <c r="E5" t="n">
        <v>11243.39616320016</v>
      </c>
      <c r="F5" t="n">
        <v>4290.294975351398</v>
      </c>
      <c r="G5" t="n">
        <v>892.1450029925613</v>
      </c>
      <c r="H5" t="n">
        <v>6060.956184856204</v>
      </c>
      <c r="I5" t="n">
        <v>5.24</v>
      </c>
      <c r="J5" t="n">
        <v>0.04</v>
      </c>
      <c r="K5" t="n">
        <v>1.78</v>
      </c>
      <c r="L5" t="n">
        <v>3.08</v>
      </c>
      <c r="M5" t="n">
        <v>20</v>
      </c>
      <c r="N5" t="n">
        <v>65.11</v>
      </c>
      <c r="O5" t="n">
        <v>0</v>
      </c>
      <c r="P5" t="n">
        <v>0</v>
      </c>
      <c r="Q5" t="n">
        <v>4.76</v>
      </c>
      <c r="R5" t="n">
        <v>0</v>
      </c>
      <c r="U5">
        <f>G5/(G5+F5)</f>
        <v/>
      </c>
      <c r="V5">
        <f>M5+Q5+O5+P5+I5+R5</f>
        <v/>
      </c>
      <c r="W5" s="24">
        <f t="array" ref="W5">SUMPRODUCT(I5:R5/100,$I$21:$R$21)</f>
        <v/>
      </c>
      <c r="X5" s="24">
        <f t="array" ref="X5">SUMPRODUCT(I5:R5/100,$I$22:$R$22)</f>
        <v/>
      </c>
      <c r="Y5" s="24">
        <f t="array" ref="Y5">SUMPRODUCT(I5:R5/100,$I$24:$R$24)</f>
        <v/>
      </c>
      <c r="Z5" s="24">
        <f t="array" ref="Z5">SUMPRODUCT(I5:R5/100,$I$25:$R$25)</f>
        <v/>
      </c>
      <c r="AA5" s="24">
        <f t="array" ref="AA5">SUMPRODUCT(I5:R5/100,$I$26:$R$26)</f>
        <v/>
      </c>
      <c r="AB5" s="24">
        <f t="array" ref="AB5">SUMPRODUCT(I5:R5/100,$I$27:$R$27)</f>
        <v/>
      </c>
      <c r="AC5" s="24">
        <f t="array" ref="AC5">SUMPRODUCT(I5:R5/100,$I$28:$R$28)</f>
        <v/>
      </c>
      <c r="AD5" s="24">
        <f t="array" ref="AD5">SUMPRODUCT(I5:R5/100,$I$29:$R$29)</f>
        <v/>
      </c>
    </row>
    <row r="6">
      <c r="A6" t="n">
        <v>19</v>
      </c>
      <c r="E6" t="n">
        <v>11771.82250934933</v>
      </c>
      <c r="F6" t="n">
        <v>4523.613124937323</v>
      </c>
      <c r="G6" t="n">
        <v>943.5994744565342</v>
      </c>
      <c r="H6" t="n">
        <v>6304.609909955473</v>
      </c>
      <c r="I6" t="n">
        <v>5.48</v>
      </c>
      <c r="J6" t="n">
        <v>0.11</v>
      </c>
      <c r="K6" t="n">
        <v>1.69</v>
      </c>
      <c r="L6" t="n">
        <v>2.92</v>
      </c>
      <c r="M6" t="n">
        <v>20</v>
      </c>
      <c r="N6" t="n">
        <v>65.27</v>
      </c>
      <c r="O6" t="n">
        <v>0</v>
      </c>
      <c r="P6" t="n">
        <v>0</v>
      </c>
      <c r="Q6" t="n">
        <v>4.52</v>
      </c>
      <c r="R6" t="n">
        <v>0</v>
      </c>
      <c r="U6">
        <f>G6/(G6+F6)</f>
        <v/>
      </c>
      <c r="V6">
        <f>M6+Q6+O6+P6+I6+R6</f>
        <v/>
      </c>
      <c r="W6" s="24">
        <f t="array" ref="W6">SUMPRODUCT(I6:R6/100,$I$21:$R$21)</f>
        <v/>
      </c>
      <c r="X6" s="24">
        <f t="array" ref="X6">SUMPRODUCT(I6:R6/100,$I$22:$R$22)</f>
        <v/>
      </c>
      <c r="Y6" s="24">
        <f t="array" ref="Y6">SUMPRODUCT(I6:R6/100,$I$24:$R$24)</f>
        <v/>
      </c>
      <c r="Z6" s="24">
        <f t="array" ref="Z6">SUMPRODUCT(I6:R6/100,$I$25:$R$25)</f>
        <v/>
      </c>
      <c r="AA6" s="24">
        <f t="array" ref="AA6">SUMPRODUCT(I6:R6/100,$I$26:$R$26)</f>
        <v/>
      </c>
      <c r="AB6" s="24">
        <f t="array" ref="AB6">SUMPRODUCT(I6:R6/100,$I$27:$R$27)</f>
        <v/>
      </c>
      <c r="AC6" s="24">
        <f t="array" ref="AC6">SUMPRODUCT(I6:R6/100,$I$28:$R$28)</f>
        <v/>
      </c>
      <c r="AD6" s="24">
        <f t="array" ref="AD6">SUMPRODUCT(I6:R6/100,$I$29:$R$29)</f>
        <v/>
      </c>
    </row>
    <row r="7">
      <c r="A7" t="n">
        <v>49.99999999999999</v>
      </c>
      <c r="E7" t="n">
        <v>4593.358647314993</v>
      </c>
      <c r="F7" t="n">
        <v>1565.268537245359</v>
      </c>
      <c r="G7" t="n">
        <v>352.267289016456</v>
      </c>
      <c r="H7" t="n">
        <v>2675.822821053178</v>
      </c>
      <c r="I7" t="n">
        <v>2.28</v>
      </c>
      <c r="J7" t="n">
        <v>0</v>
      </c>
      <c r="K7" t="n">
        <v>4.44</v>
      </c>
      <c r="L7" t="n">
        <v>73.28</v>
      </c>
      <c r="M7" t="n">
        <v>20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U7">
        <f>G7/(G7+F7)</f>
        <v/>
      </c>
      <c r="V7">
        <f>M7+Q7+O7+P7+I7+R7</f>
        <v/>
      </c>
      <c r="W7" s="24">
        <f t="array" ref="W7">SUMPRODUCT(I7:R7/100,$I$21:$R$21)</f>
        <v/>
      </c>
      <c r="X7" s="24">
        <f t="array" ref="X7">SUMPRODUCT(I7:R7/100,$I$22:$R$22)</f>
        <v/>
      </c>
      <c r="Y7" s="24">
        <f t="array" ref="Y7">SUMPRODUCT(I7:R7/100,$I$24:$R$24)</f>
        <v/>
      </c>
      <c r="Z7" s="24">
        <f t="array" ref="Z7">SUMPRODUCT(I7:R7/100,$I$25:$R$25)</f>
        <v/>
      </c>
      <c r="AA7" s="24">
        <f t="array" ref="AA7">SUMPRODUCT(I7:R7/100,$I$26:$R$26)</f>
        <v/>
      </c>
      <c r="AB7" s="24">
        <f t="array" ref="AB7">SUMPRODUCT(I7:R7/100,$I$27:$R$27)</f>
        <v/>
      </c>
      <c r="AC7" s="24">
        <f t="array" ref="AC7">SUMPRODUCT(I7:R7/100,$I$28:$R$28)</f>
        <v/>
      </c>
      <c r="AD7" s="24">
        <f t="array" ref="AD7">SUMPRODUCT(I7:R7/100,$I$29:$R$29)</f>
        <v/>
      </c>
    </row>
    <row r="8">
      <c r="A8" t="n">
        <v>45</v>
      </c>
      <c r="E8" t="n">
        <v>5095.785598525872</v>
      </c>
      <c r="F8" t="n">
        <v>1747.444263154145</v>
      </c>
      <c r="G8" t="n">
        <v>392.166165456003</v>
      </c>
      <c r="H8" t="n">
        <v>2956.175169915724</v>
      </c>
      <c r="I8" t="n">
        <v>2.57</v>
      </c>
      <c r="J8" t="n">
        <v>0</v>
      </c>
      <c r="K8" t="n">
        <v>4</v>
      </c>
      <c r="L8" t="n">
        <v>73.43000000000001</v>
      </c>
      <c r="M8" t="n">
        <v>20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U8">
        <f>G8/(G8+F8)</f>
        <v/>
      </c>
      <c r="V8">
        <f>M8+Q8+O8+P8+I8+R8</f>
        <v/>
      </c>
      <c r="W8" s="24">
        <f t="array" ref="W8">SUMPRODUCT(I8:R8/100,$I$21:$R$21)</f>
        <v/>
      </c>
      <c r="X8" s="24">
        <f t="array" ref="X8">SUMPRODUCT(I8:R8/100,$I$22:$R$22)</f>
        <v/>
      </c>
      <c r="Y8" s="24">
        <f t="array" ref="Y8">SUMPRODUCT(I8:R8/100,$I$24:$R$24)</f>
        <v/>
      </c>
      <c r="Z8" s="24">
        <f t="array" ref="Z8">SUMPRODUCT(I8:R8/100,$I$25:$R$25)</f>
        <v/>
      </c>
      <c r="AA8" s="24">
        <f t="array" ref="AA8">SUMPRODUCT(I8:R8/100,$I$26:$R$26)</f>
        <v/>
      </c>
      <c r="AB8" s="24">
        <f t="array" ref="AB8">SUMPRODUCT(I8:R8/100,$I$27:$R$27)</f>
        <v/>
      </c>
      <c r="AC8" s="24">
        <f t="array" ref="AC8">SUMPRODUCT(I8:R8/100,$I$28:$R$28)</f>
        <v/>
      </c>
      <c r="AD8" s="24">
        <f t="array" ref="AD8">SUMPRODUCT(I8:R8/100,$I$29:$R$29)</f>
        <v/>
      </c>
    </row>
    <row r="9">
      <c r="A9" t="n">
        <v>33</v>
      </c>
      <c r="E9" t="n">
        <v>7062.422428651043</v>
      </c>
      <c r="F9" t="n">
        <v>2588.021339545137</v>
      </c>
      <c r="G9" t="n">
        <v>534.2024219508731</v>
      </c>
      <c r="H9" t="n">
        <v>3940.198667155033</v>
      </c>
      <c r="I9" t="n">
        <v>7.34</v>
      </c>
      <c r="J9" t="n">
        <v>0</v>
      </c>
      <c r="K9" t="n">
        <v>2.93</v>
      </c>
      <c r="L9" t="n">
        <v>5.08</v>
      </c>
      <c r="M9" t="n">
        <v>20</v>
      </c>
      <c r="N9" t="n">
        <v>62.65</v>
      </c>
      <c r="O9" t="n">
        <v>0</v>
      </c>
      <c r="P9" t="n">
        <v>0</v>
      </c>
      <c r="Q9" t="n">
        <v>2</v>
      </c>
      <c r="R9" t="n">
        <v>0</v>
      </c>
      <c r="U9">
        <f>G9/(G9+F9)</f>
        <v/>
      </c>
      <c r="V9">
        <f>M9+Q9+O9+P9+I9+R9</f>
        <v/>
      </c>
      <c r="W9" s="24">
        <f t="array" ref="W9">SUMPRODUCT(I9:R9/100,$I$21:$R$21)</f>
        <v/>
      </c>
      <c r="X9" s="24">
        <f t="array" ref="X9">SUMPRODUCT(I9:R9/100,$I$22:$R$22)</f>
        <v/>
      </c>
      <c r="Y9" s="24">
        <f t="array" ref="Y9">SUMPRODUCT(I9:R9/100,$I$24:$R$24)</f>
        <v/>
      </c>
      <c r="Z9" s="24">
        <f t="array" ref="Z9">SUMPRODUCT(I9:R9/100,$I$25:$R$25)</f>
        <v/>
      </c>
      <c r="AA9" s="24">
        <f t="array" ref="AA9">SUMPRODUCT(I9:R9/100,$I$26:$R$26)</f>
        <v/>
      </c>
      <c r="AB9" s="24">
        <f t="array" ref="AB9">SUMPRODUCT(I9:R9/100,$I$27:$R$27)</f>
        <v/>
      </c>
      <c r="AC9" s="24">
        <f t="array" ref="AC9">SUMPRODUCT(I9:R9/100,$I$28:$R$28)</f>
        <v/>
      </c>
      <c r="AD9" s="24">
        <f t="array" ref="AD9">SUMPRODUCT(I9:R9/100,$I$29:$R$29)</f>
        <v/>
      </c>
    </row>
    <row r="10">
      <c r="A10" t="n">
        <v>28</v>
      </c>
      <c r="E10" t="n">
        <v>8268.050361096442</v>
      </c>
      <c r="F10" t="n">
        <v>3063.225098473375</v>
      </c>
      <c r="G10" t="n">
        <v>632.4372152505882</v>
      </c>
      <c r="H10" t="n">
        <v>4572.38804737248</v>
      </c>
      <c r="I10" t="n">
        <v>7.36</v>
      </c>
      <c r="J10" t="n">
        <v>0</v>
      </c>
      <c r="K10" t="n">
        <v>2.49</v>
      </c>
      <c r="L10" t="n">
        <v>4.31</v>
      </c>
      <c r="M10" t="n">
        <v>20</v>
      </c>
      <c r="N10" t="n">
        <v>63.52</v>
      </c>
      <c r="O10" t="n">
        <v>0</v>
      </c>
      <c r="P10" t="n">
        <v>0</v>
      </c>
      <c r="Q10" t="n">
        <v>2.32</v>
      </c>
      <c r="R10" t="n">
        <v>0</v>
      </c>
      <c r="U10">
        <f>G10/(G10+F10)</f>
        <v/>
      </c>
      <c r="V10">
        <f>M10+Q10+O10+P10+I10+R10</f>
        <v/>
      </c>
      <c r="W10" s="24">
        <f t="array" ref="W10">SUMPRODUCT(I10:R10/100,$I$21:$R$21)</f>
        <v/>
      </c>
      <c r="X10" s="24">
        <f t="array" ref="X10">SUMPRODUCT(I10:R10/100,$I$22:$R$22)</f>
        <v/>
      </c>
      <c r="Y10" s="24">
        <f t="array" ref="Y10">SUMPRODUCT(I10:R10/100,$I$24:$R$24)</f>
        <v/>
      </c>
      <c r="Z10" s="24">
        <f t="array" ref="Z10">SUMPRODUCT(I10:R10/100,$I$25:$R$25)</f>
        <v/>
      </c>
      <c r="AA10" s="24">
        <f t="array" ref="AA10">SUMPRODUCT(I10:R10/100,$I$26:$R$26)</f>
        <v/>
      </c>
      <c r="AB10" s="24">
        <f t="array" ref="AB10">SUMPRODUCT(I10:R10/100,$I$27:$R$27)</f>
        <v/>
      </c>
      <c r="AC10" s="24">
        <f t="array" ref="AC10">SUMPRODUCT(I10:R10/100,$I$28:$R$28)</f>
        <v/>
      </c>
      <c r="AD10" s="24">
        <f t="array" ref="AD10">SUMPRODUCT(I10:R10/100,$I$29:$R$29)</f>
        <v/>
      </c>
    </row>
    <row r="11">
      <c r="A11" t="n">
        <v>23</v>
      </c>
      <c r="E11" t="n">
        <v>9936.028463668945</v>
      </c>
      <c r="F11" t="n">
        <v>3744.656260802426</v>
      </c>
      <c r="G11" t="n">
        <v>775.8697957570924</v>
      </c>
      <c r="H11" t="n">
        <v>5415.502407109429</v>
      </c>
      <c r="I11" t="n">
        <v>7.33</v>
      </c>
      <c r="J11" t="n">
        <v>0.02</v>
      </c>
      <c r="K11" t="n">
        <v>2.04</v>
      </c>
      <c r="L11" t="n">
        <v>3.54</v>
      </c>
      <c r="M11" t="n">
        <v>20</v>
      </c>
      <c r="N11" t="n">
        <v>64.40000000000001</v>
      </c>
      <c r="O11" t="n">
        <v>0</v>
      </c>
      <c r="P11" t="n">
        <v>0</v>
      </c>
      <c r="Q11" t="n">
        <v>2.67</v>
      </c>
      <c r="R11" t="n">
        <v>0</v>
      </c>
      <c r="U11">
        <f>G11/(G11+F11)</f>
        <v/>
      </c>
      <c r="V11">
        <f>M11+Q11+O11+P11+I11+R11</f>
        <v/>
      </c>
      <c r="W11" s="24">
        <f t="array" ref="W11">SUMPRODUCT(I11:R11/100,$I$21:$R$21)</f>
        <v/>
      </c>
      <c r="X11" s="24">
        <f t="array" ref="X11">SUMPRODUCT(I11:R11/100,$I$22:$R$22)</f>
        <v/>
      </c>
      <c r="Y11" s="24">
        <f t="array" ref="Y11">SUMPRODUCT(I11:R11/100,$I$24:$R$24)</f>
        <v/>
      </c>
      <c r="Z11" s="24">
        <f t="array" ref="Z11">SUMPRODUCT(I11:R11/100,$I$25:$R$25)</f>
        <v/>
      </c>
      <c r="AA11" s="24">
        <f t="array" ref="AA11">SUMPRODUCT(I11:R11/100,$I$26:$R$26)</f>
        <v/>
      </c>
      <c r="AB11" s="24">
        <f t="array" ref="AB11">SUMPRODUCT(I11:R11/100,$I$27:$R$27)</f>
        <v/>
      </c>
      <c r="AC11" s="24">
        <f t="array" ref="AC11">SUMPRODUCT(I11:R11/100,$I$28:$R$28)</f>
        <v/>
      </c>
      <c r="AD11" s="24">
        <f t="array" ref="AD11">SUMPRODUCT(I11:R11/100,$I$29:$R$29)</f>
        <v/>
      </c>
    </row>
    <row r="12">
      <c r="A12" t="n">
        <v>35</v>
      </c>
      <c r="E12" t="n">
        <v>6669.76767008384</v>
      </c>
      <c r="F12" t="n">
        <v>2435.9561366881</v>
      </c>
      <c r="G12" t="n">
        <v>503.000190750336</v>
      </c>
      <c r="H12" t="n">
        <v>3730.81</v>
      </c>
      <c r="I12" t="n">
        <v>7.34</v>
      </c>
      <c r="J12" t="n">
        <v>0</v>
      </c>
      <c r="K12" t="n">
        <v>3.11</v>
      </c>
      <c r="L12" t="n">
        <v>5.38</v>
      </c>
      <c r="M12" t="n">
        <v>20</v>
      </c>
      <c r="N12" t="n">
        <v>62.31</v>
      </c>
      <c r="O12" t="n">
        <v>0</v>
      </c>
      <c r="P12" t="n">
        <v>0</v>
      </c>
      <c r="Q12" t="n">
        <v>1.87</v>
      </c>
      <c r="R12" t="n">
        <v>0</v>
      </c>
      <c r="U12">
        <f>G12/(G12+F12)</f>
        <v/>
      </c>
      <c r="V12">
        <f>M12+Q12+O12+P12+I12+R12</f>
        <v/>
      </c>
      <c r="W12" s="24">
        <f t="array" ref="W12">SUMPRODUCT(I12:R12/100,$I$21:$R$21)</f>
        <v/>
      </c>
      <c r="X12" s="24">
        <f t="array" ref="X12">SUMPRODUCT(I12:R12/100,$I$22:$R$22)</f>
        <v/>
      </c>
      <c r="Y12" s="24">
        <f t="array" ref="Y12">SUMPRODUCT(I12:R12/100,$I$24:$R$24)</f>
        <v/>
      </c>
      <c r="Z12" s="24">
        <f t="array" ref="Z12">SUMPRODUCT(I12:R12/100,$I$25:$R$25)</f>
        <v/>
      </c>
      <c r="AA12" s="24">
        <f t="array" ref="AA12">SUMPRODUCT(I12:R12/100,$I$26:$R$26)</f>
        <v/>
      </c>
      <c r="AB12" s="24">
        <f t="array" ref="AB12">SUMPRODUCT(I12:R12/100,$I$27:$R$27)</f>
        <v/>
      </c>
      <c r="AC12" s="24">
        <f t="array" ref="AC12">SUMPRODUCT(I12:R12/100,$I$28:$R$28)</f>
        <v/>
      </c>
      <c r="AD12" s="24">
        <f t="array" ref="AD12">SUMPRODUCT(I12:R12/100,$I$29:$R$29)</f>
        <v/>
      </c>
    </row>
    <row r="13">
      <c r="A13" t="n">
        <v>36</v>
      </c>
      <c r="E13" t="n">
        <v>6447.974108374165</v>
      </c>
      <c r="F13" t="n">
        <v>2322.948790604622</v>
      </c>
      <c r="G13" t="n">
        <v>490.0192327573039</v>
      </c>
      <c r="H13" t="n">
        <v>3635.006085012238</v>
      </c>
      <c r="I13" t="n">
        <v>7.29</v>
      </c>
      <c r="J13" t="n">
        <v>0</v>
      </c>
      <c r="K13" t="n">
        <v>3.2</v>
      </c>
      <c r="L13" t="n">
        <v>27.59</v>
      </c>
      <c r="M13" t="n">
        <v>20</v>
      </c>
      <c r="N13" t="n">
        <v>41.92</v>
      </c>
      <c r="O13" t="n">
        <v>0</v>
      </c>
      <c r="P13" t="n">
        <v>0</v>
      </c>
      <c r="Q13" t="n">
        <v>0</v>
      </c>
      <c r="R13" t="n">
        <v>0</v>
      </c>
      <c r="U13">
        <f>G13/(G13+F13)</f>
        <v/>
      </c>
      <c r="V13">
        <f>M13+Q13+O13+P13+I13+R13</f>
        <v/>
      </c>
      <c r="W13" s="24">
        <f t="array" ref="W13">SUMPRODUCT(I13:R13/100,$I$21:$R$21)</f>
        <v/>
      </c>
      <c r="X13" s="24">
        <f t="array" ref="X13">SUMPRODUCT(I13:R13/100,$I$22:$R$22)</f>
        <v/>
      </c>
      <c r="Y13" s="24">
        <f t="array" ref="Y13">SUMPRODUCT(I13:R13/100,$I$24:$R$24)</f>
        <v/>
      </c>
      <c r="Z13" s="24">
        <f t="array" ref="Z13">SUMPRODUCT(I13:R13/100,$I$25:$R$25)</f>
        <v/>
      </c>
      <c r="AA13" s="24">
        <f t="array" ref="AA13">SUMPRODUCT(I13:R13/100,$I$26:$R$26)</f>
        <v/>
      </c>
      <c r="AB13" s="24">
        <f t="array" ref="AB13">SUMPRODUCT(I13:R13/100,$I$27:$R$27)</f>
        <v/>
      </c>
      <c r="AC13" s="24">
        <f t="array" ref="AC13">SUMPRODUCT(I13:R13/100,$I$28:$R$28)</f>
        <v/>
      </c>
      <c r="AD13" s="24">
        <f t="array" ref="AD13">SUMPRODUCT(I13:R13/100,$I$29:$R$29)</f>
        <v/>
      </c>
    </row>
    <row r="14">
      <c r="A14" t="n">
        <v>37.00000000000001</v>
      </c>
      <c r="E14" t="n">
        <v>6280.215960519281</v>
      </c>
      <c r="F14" t="n">
        <v>2259.721879094868</v>
      </c>
      <c r="G14" t="n">
        <v>476.4088765493992</v>
      </c>
      <c r="H14" t="n">
        <v>3544.085204875014</v>
      </c>
      <c r="I14" t="n">
        <v>7.29</v>
      </c>
      <c r="J14" t="n">
        <v>0</v>
      </c>
      <c r="K14" t="n">
        <v>3.29</v>
      </c>
      <c r="L14" t="n">
        <v>26.94</v>
      </c>
      <c r="M14" t="n">
        <v>20</v>
      </c>
      <c r="N14" t="n">
        <v>42.48</v>
      </c>
      <c r="O14" t="n">
        <v>0</v>
      </c>
      <c r="P14" t="n">
        <v>0</v>
      </c>
      <c r="Q14" t="n">
        <v>0</v>
      </c>
      <c r="R14" t="n">
        <v>0</v>
      </c>
      <c r="U14">
        <f>G14/(G14+F14)</f>
        <v/>
      </c>
      <c r="V14">
        <f>M14+Q14+O14+P14+I14+R14</f>
        <v/>
      </c>
      <c r="W14" s="24">
        <f t="array" ref="W14">SUMPRODUCT(I14:R14/100,$I$21:$R$21)</f>
        <v/>
      </c>
      <c r="X14" s="24">
        <f t="array" ref="X14">SUMPRODUCT(I14:R14/100,$I$22:$R$22)</f>
        <v/>
      </c>
      <c r="Y14" s="24">
        <f t="array" ref="Y14">SUMPRODUCT(I14:R14/100,$I$24:$R$24)</f>
        <v/>
      </c>
      <c r="Z14" s="24">
        <f t="array" ref="Z14">SUMPRODUCT(I14:R14/100,$I$25:$R$25)</f>
        <v/>
      </c>
      <c r="AA14" s="24">
        <f t="array" ref="AA14">SUMPRODUCT(I14:R14/100,$I$26:$R$26)</f>
        <v/>
      </c>
      <c r="AB14" s="24">
        <f t="array" ref="AB14">SUMPRODUCT(I14:R14/100,$I$27:$R$27)</f>
        <v/>
      </c>
      <c r="AC14" s="24">
        <f t="array" ref="AC14">SUMPRODUCT(I14:R14/100,$I$28:$R$28)</f>
        <v/>
      </c>
      <c r="AD14" s="24">
        <f t="array" ref="AD14">SUMPRODUCT(I14:R14/100,$I$29:$R$29)</f>
        <v/>
      </c>
    </row>
    <row r="15">
      <c r="A15" t="n">
        <v>38</v>
      </c>
      <c r="E15" t="n">
        <v>6120.580584261471</v>
      </c>
      <c r="F15" t="n">
        <v>2199.822699769837</v>
      </c>
      <c r="G15" t="n">
        <v>463.5148548787527</v>
      </c>
      <c r="H15" t="n">
        <v>3457.243029612882</v>
      </c>
      <c r="I15" t="n">
        <v>7.29</v>
      </c>
      <c r="J15" t="n">
        <v>0</v>
      </c>
      <c r="K15" t="n">
        <v>3.38</v>
      </c>
      <c r="L15" t="n">
        <v>26.3</v>
      </c>
      <c r="M15" t="n">
        <v>20</v>
      </c>
      <c r="N15" t="n">
        <v>43.04</v>
      </c>
      <c r="O15" t="n">
        <v>0</v>
      </c>
      <c r="P15" t="n">
        <v>0</v>
      </c>
      <c r="Q15" t="n">
        <v>0</v>
      </c>
      <c r="R15" t="n">
        <v>0</v>
      </c>
      <c r="U15">
        <f>G15/(G15+F15)</f>
        <v/>
      </c>
      <c r="V15">
        <f>M15+Q15+O15+P15+I15+R15</f>
        <v/>
      </c>
      <c r="W15" s="24">
        <f t="array" ref="W15">SUMPRODUCT(I15:R15/100,$I$21:$R$21)</f>
        <v/>
      </c>
      <c r="X15" s="24">
        <f t="array" ref="X15">SUMPRODUCT(I15:R15/100,$I$22:$R$22)</f>
        <v/>
      </c>
      <c r="Y15" s="24">
        <f t="array" ref="Y15">SUMPRODUCT(I15:R15/100,$I$24:$R$24)</f>
        <v/>
      </c>
      <c r="Z15" s="24">
        <f t="array" ref="Z15">SUMPRODUCT(I15:R15/100,$I$25:$R$25)</f>
        <v/>
      </c>
      <c r="AA15" s="24">
        <f t="array" ref="AA15">SUMPRODUCT(I15:R15/100,$I$26:$R$26)</f>
        <v/>
      </c>
      <c r="AB15" s="24">
        <f t="array" ref="AB15">SUMPRODUCT(I15:R15/100,$I$27:$R$27)</f>
        <v/>
      </c>
      <c r="AC15" s="24">
        <f t="array" ref="AC15">SUMPRODUCT(I15:R15/100,$I$28:$R$28)</f>
        <v/>
      </c>
      <c r="AD15" s="24">
        <f t="array" ref="AD15">SUMPRODUCT(I15:R15/100,$I$29:$R$29)</f>
        <v/>
      </c>
    </row>
    <row r="16">
      <c r="A16" t="n">
        <v>39.00000000000001</v>
      </c>
      <c r="E16" t="n">
        <v>5966.242803112214</v>
      </c>
      <c r="F16" t="n">
        <v>2140.709987565955</v>
      </c>
      <c r="G16" t="n">
        <v>451.2755415371635</v>
      </c>
      <c r="H16" t="n">
        <v>3374.257274009096</v>
      </c>
      <c r="I16" t="n">
        <v>7.2</v>
      </c>
      <c r="J16" t="n">
        <v>0</v>
      </c>
      <c r="K16" t="n">
        <v>3.47</v>
      </c>
      <c r="L16" t="n">
        <v>26.6</v>
      </c>
      <c r="M16" t="n">
        <v>20</v>
      </c>
      <c r="N16" t="n">
        <v>42.73</v>
      </c>
      <c r="O16" t="n">
        <v>0</v>
      </c>
      <c r="P16" t="n">
        <v>0</v>
      </c>
      <c r="Q16" t="n">
        <v>0</v>
      </c>
      <c r="R16" t="n">
        <v>0</v>
      </c>
      <c r="U16">
        <f>G16/(G16+F16)</f>
        <v/>
      </c>
      <c r="V16">
        <f>M16+Q16+O16+P16+I16+R16</f>
        <v/>
      </c>
      <c r="W16" s="24">
        <f t="array" ref="W16">SUMPRODUCT(I16:R16/100,$I$21:$R$21)</f>
        <v/>
      </c>
      <c r="X16" s="24">
        <f t="array" ref="X16">SUMPRODUCT(I16:R16/100,$I$22:$R$22)</f>
        <v/>
      </c>
      <c r="Y16" s="24">
        <f t="array" ref="Y16">SUMPRODUCT(I16:R16/100,$I$24:$R$24)</f>
        <v/>
      </c>
      <c r="Z16" s="24">
        <f t="array" ref="Z16">SUMPRODUCT(I16:R16/100,$I$25:$R$25)</f>
        <v/>
      </c>
      <c r="AA16" s="24">
        <f t="array" ref="AA16">SUMPRODUCT(I16:R16/100,$I$26:$R$26)</f>
        <v/>
      </c>
      <c r="AB16" s="24">
        <f t="array" ref="AB16">SUMPRODUCT(I16:R16/100,$I$27:$R$27)</f>
        <v/>
      </c>
      <c r="AC16" s="24">
        <f t="array" ref="AC16">SUMPRODUCT(I16:R16/100,$I$28:$R$28)</f>
        <v/>
      </c>
      <c r="AD16" s="24">
        <f t="array" ref="AD16">SUMPRODUCT(I16:R16/100,$I$29:$R$29)</f>
        <v/>
      </c>
    </row>
    <row r="17">
      <c r="A17" s="5" t="n"/>
      <c r="E17" s="16" t="n"/>
      <c r="V17" s="16" t="n"/>
    </row>
    <row r="18"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</row>
    <row r="19">
      <c r="I19" s="18" t="n"/>
      <c r="K19" s="18" t="n"/>
      <c r="L19" s="21" t="n"/>
      <c r="M19" s="20" t="n"/>
      <c r="O19" s="18" t="n"/>
      <c r="P19" s="18" t="n"/>
      <c r="Q19" s="18" t="n"/>
      <c r="R19" s="18" t="n"/>
    </row>
    <row r="20"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</row>
    <row r="21"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</row>
    <row r="22"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</row>
    <row r="23">
      <c r="L23" s="16" t="n"/>
      <c r="M23" s="16" t="n"/>
    </row>
    <row r="24">
      <c r="L24" s="21" t="n"/>
      <c r="M24" s="21" t="n"/>
    </row>
    <row r="25">
      <c r="I25" s="19" t="n"/>
      <c r="J25" s="19" t="n"/>
      <c r="K25" s="19" t="n"/>
      <c r="L25" s="22" t="n"/>
      <c r="M25" s="22" t="n"/>
      <c r="N25" s="19" t="n"/>
      <c r="O25" s="19" t="n"/>
      <c r="P25" s="19" t="n"/>
      <c r="Q25" s="19" t="n"/>
      <c r="R25" s="19" t="n"/>
    </row>
    <row r="26">
      <c r="I26" s="20" t="n"/>
      <c r="J26" s="18" t="n"/>
      <c r="K26" s="18" t="n"/>
      <c r="L26" s="21" t="n"/>
      <c r="M26" s="21" t="n"/>
      <c r="N26" s="18" t="n"/>
      <c r="O26" s="18" t="n"/>
      <c r="P26" s="18" t="n"/>
      <c r="Q26" s="18" t="n"/>
      <c r="R26" s="18" t="n"/>
    </row>
    <row r="27">
      <c r="I27" s="18" t="n"/>
      <c r="J27" s="18" t="n"/>
      <c r="K27" s="18" t="n"/>
      <c r="L27" s="21" t="n"/>
      <c r="M27" s="21" t="n"/>
      <c r="N27" s="18" t="n"/>
      <c r="O27" s="18" t="n"/>
      <c r="P27" s="18" t="n"/>
      <c r="Q27" s="18" t="n"/>
      <c r="R27" s="18" t="n"/>
    </row>
    <row r="28">
      <c r="I28" s="18" t="n"/>
      <c r="J28" s="20" t="n"/>
      <c r="K28" s="18" t="n"/>
      <c r="L28" s="21" t="n"/>
      <c r="M28" s="21" t="n"/>
      <c r="N28" s="18" t="n"/>
      <c r="O28" s="18" t="n"/>
      <c r="P28" s="18" t="n"/>
      <c r="Q28" s="18" t="n"/>
      <c r="R28" s="18" t="n"/>
    </row>
    <row r="29">
      <c r="I29" s="18" t="n"/>
      <c r="J29" s="18" t="n"/>
      <c r="K29" s="18" t="n"/>
      <c r="L29" s="21" t="n"/>
      <c r="M29" s="21" t="n"/>
      <c r="N29" s="18" t="n"/>
      <c r="O29" s="18" t="n"/>
      <c r="P29" s="18" t="n"/>
      <c r="Q29" s="18" t="n"/>
      <c r="R29" s="18" t="n"/>
    </row>
    <row r="30">
      <c r="I30" s="20" t="n"/>
      <c r="J30" s="18" t="n"/>
      <c r="K30" s="18" t="n"/>
      <c r="L30" s="21" t="n"/>
      <c r="M30" s="21" t="n"/>
      <c r="N30" s="20" t="n"/>
      <c r="O30" s="20" t="n"/>
      <c r="P30" s="20" t="n"/>
      <c r="Q30" s="20" t="n"/>
      <c r="R30" s="20" t="n"/>
    </row>
    <row r="33">
      <c r="E33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0"/>
  <sheetViews>
    <sheetView zoomScale="80" zoomScaleNormal="80" workbookViewId="0">
      <selection activeCell="H4" sqref="H4"/>
    </sheetView>
  </sheetViews>
  <sheetFormatPr baseColWidth="8" defaultRowHeight="14.4"/>
  <sheetData>
    <row r="1">
      <c r="A1" s="10" t="inlineStr">
        <is>
          <t>HRT</t>
        </is>
      </c>
      <c r="B1" s="11" t="inlineStr">
        <is>
          <t>Gamma_Z</t>
        </is>
      </c>
      <c r="C1" s="11" t="inlineStr">
        <is>
          <t>Gamma_W</t>
        </is>
      </c>
      <c r="D1" s="11" t="inlineStr">
        <is>
          <t>Gamma_L</t>
        </is>
      </c>
      <c r="E1" s="11" t="inlineStr">
        <is>
          <t>Revenue</t>
        </is>
      </c>
      <c r="F1" s="11" t="inlineStr">
        <is>
          <t>Purchase costs</t>
        </is>
      </c>
      <c r="G1" s="11" t="inlineStr">
        <is>
          <t>Transportation costs</t>
        </is>
      </c>
      <c r="H1" s="11" t="inlineStr">
        <is>
          <t>J</t>
        </is>
      </c>
      <c r="I1" s="5" t="inlineStr">
        <is>
          <t>Barley silage</t>
        </is>
      </c>
      <c r="J1" s="5" t="inlineStr">
        <is>
          <t>Chicken dung</t>
        </is>
      </c>
      <c r="K1" s="5" t="inlineStr">
        <is>
          <t>Cow dung</t>
        </is>
      </c>
      <c r="L1" s="5" t="inlineStr">
        <is>
          <t>Cow slurry</t>
        </is>
      </c>
      <c r="M1" s="5" t="inlineStr">
        <is>
          <t>Maize silage</t>
        </is>
      </c>
      <c r="N1" s="5" t="inlineStr">
        <is>
          <t>Pig slurry</t>
        </is>
      </c>
      <c r="O1" s="5" t="inlineStr">
        <is>
          <t>Sorghum silage</t>
        </is>
      </c>
      <c r="P1" s="5" t="inlineStr">
        <is>
          <t>Tomato peels</t>
        </is>
      </c>
      <c r="Q1" s="5" t="inlineStr">
        <is>
          <t>Triticale silage</t>
        </is>
      </c>
      <c r="R1" s="8" t="inlineStr">
        <is>
          <t>Wheat byproducts</t>
        </is>
      </c>
      <c r="S1" s="5" t="inlineStr">
        <is>
          <t>unc.bmp</t>
        </is>
      </c>
      <c r="T1" s="5" t="inlineStr">
        <is>
          <t>unc.price</t>
        </is>
      </c>
      <c r="U1" s="5" t="inlineStr">
        <is>
          <t>VaR</t>
        </is>
      </c>
    </row>
    <row r="2">
      <c r="A2" t="n">
        <v>20.00000000000001</v>
      </c>
      <c r="B2" s="14" t="n">
        <v>7.155556254155416</v>
      </c>
      <c r="C2" s="14" t="n">
        <v>5.911735779009457</v>
      </c>
      <c r="D2" s="14" t="n">
        <v>9.597051824376162</v>
      </c>
      <c r="E2" s="15" t="n">
        <v>9440.65986113749</v>
      </c>
      <c r="F2" s="15" t="n">
        <v>5184.496430694666</v>
      </c>
      <c r="G2" s="15" t="n">
        <v>899.0021021203526</v>
      </c>
      <c r="H2" s="15" t="n">
        <v>3357.161328322471</v>
      </c>
      <c r="I2" s="14" t="n">
        <v>7.37</v>
      </c>
      <c r="J2" s="14" t="n">
        <v>0</v>
      </c>
      <c r="K2" s="14" t="n">
        <v>2.11</v>
      </c>
      <c r="L2" s="14" t="n">
        <v>3.37</v>
      </c>
      <c r="M2" s="14" t="n">
        <v>20</v>
      </c>
      <c r="N2" s="14" t="n">
        <v>64.52</v>
      </c>
      <c r="O2" s="14" t="n">
        <v>0</v>
      </c>
      <c r="P2" s="14" t="n">
        <v>0</v>
      </c>
      <c r="Q2" s="14" t="n">
        <v>2.63</v>
      </c>
      <c r="R2" s="14" t="n">
        <v>0</v>
      </c>
      <c r="S2" t="b">
        <v>1</v>
      </c>
      <c r="T2" t="b">
        <v>1</v>
      </c>
      <c r="U2" t="n">
        <v>0.99</v>
      </c>
    </row>
    <row r="3">
      <c r="A3" t="n">
        <v>20</v>
      </c>
      <c r="B3" s="14" t="n">
        <v>7.155556</v>
      </c>
      <c r="C3" s="14" t="n">
        <v>5.400348</v>
      </c>
      <c r="D3" s="14" t="n">
        <v>7.740455</v>
      </c>
      <c r="E3" s="15" t="n">
        <v>9440.65986113749</v>
      </c>
      <c r="F3" s="15" t="n">
        <v>5180.626975062132</v>
      </c>
      <c r="G3" s="15" t="n">
        <v>899.0021021203529</v>
      </c>
      <c r="H3" s="15" t="n">
        <v>3361.030783955005</v>
      </c>
      <c r="I3" s="12" t="n">
        <v>7.37</v>
      </c>
      <c r="J3" s="12" t="n">
        <v>0</v>
      </c>
      <c r="K3" s="12" t="n">
        <v>2.11</v>
      </c>
      <c r="L3" s="12" t="n">
        <v>3.37</v>
      </c>
      <c r="M3" s="12" t="n">
        <v>20</v>
      </c>
      <c r="N3" s="12" t="n">
        <v>64.52</v>
      </c>
      <c r="O3" s="12" t="n">
        <v>0</v>
      </c>
      <c r="P3" s="12" t="n">
        <v>0</v>
      </c>
      <c r="Q3" s="12" t="n">
        <v>2.63</v>
      </c>
      <c r="R3" s="12" t="n">
        <v>0</v>
      </c>
      <c r="S3" t="b">
        <v>1</v>
      </c>
      <c r="T3" t="b">
        <v>1</v>
      </c>
      <c r="U3" t="n">
        <v>0.95</v>
      </c>
      <c r="V3" s="15" t="n"/>
      <c r="W3" s="15" t="n"/>
      <c r="X3" s="15" t="n"/>
      <c r="Y3" s="15" t="n"/>
    </row>
    <row r="4">
      <c r="A4" t="n">
        <v>20</v>
      </c>
      <c r="B4" s="14" t="n">
        <v>7.155556254155416</v>
      </c>
      <c r="C4" s="14" t="n">
        <v>5.019225290086914</v>
      </c>
      <c r="D4" s="14" t="n">
        <v>6.786140424415112</v>
      </c>
      <c r="E4" s="15" t="n">
        <v>9441.153471478625</v>
      </c>
      <c r="F4" s="15" t="n">
        <v>5178.191469621536</v>
      </c>
      <c r="G4" s="15" t="n">
        <v>899.0088914928286</v>
      </c>
      <c r="H4" s="15" t="n">
        <v>3363.95311036426</v>
      </c>
      <c r="I4" s="12" t="n">
        <v>7.37</v>
      </c>
      <c r="J4" s="12" t="n">
        <v>0</v>
      </c>
      <c r="K4" s="12" t="n">
        <v>2.1</v>
      </c>
      <c r="L4" s="12" t="n">
        <v>3.37</v>
      </c>
      <c r="M4" s="12" t="n">
        <v>20</v>
      </c>
      <c r="N4" s="12" t="n">
        <v>64.53</v>
      </c>
      <c r="O4" s="12" t="n">
        <v>0</v>
      </c>
      <c r="P4" s="12" t="n">
        <v>0</v>
      </c>
      <c r="Q4" s="12" t="n">
        <v>2.63</v>
      </c>
      <c r="R4" s="12" t="n">
        <v>0</v>
      </c>
      <c r="S4" t="b">
        <v>1</v>
      </c>
      <c r="T4" t="b">
        <v>1</v>
      </c>
      <c r="U4" t="n">
        <v>0.9</v>
      </c>
    </row>
    <row r="5">
      <c r="A5" t="n">
        <v>20.00000000000001</v>
      </c>
      <c r="B5" s="14" t="n">
        <v>6.502527428523132</v>
      </c>
      <c r="C5" s="14" t="n">
        <v>4.71194882579189</v>
      </c>
      <c r="D5" s="14" t="n">
        <v>5.673513747994448</v>
      </c>
      <c r="E5" s="15" t="n">
        <v>9451.100044105438</v>
      </c>
      <c r="F5" s="15" t="n">
        <v>5166.953113848588</v>
      </c>
      <c r="G5" s="15" t="n">
        <v>898.6002874634775</v>
      </c>
      <c r="H5" s="15" t="n">
        <v>3385.546642793372</v>
      </c>
      <c r="I5" s="14" t="n">
        <v>7.37</v>
      </c>
      <c r="J5" s="14" t="n">
        <v>0</v>
      </c>
      <c r="K5" s="14" t="n">
        <v>2.21</v>
      </c>
      <c r="L5" s="14" t="n">
        <v>3.08</v>
      </c>
      <c r="M5" s="14" t="n">
        <v>20</v>
      </c>
      <c r="N5" s="14" t="n">
        <v>64.70999999999999</v>
      </c>
      <c r="O5" s="14" t="n">
        <v>0.22</v>
      </c>
      <c r="P5" s="14" t="n">
        <v>0</v>
      </c>
      <c r="Q5" s="14" t="n">
        <v>2.42</v>
      </c>
      <c r="R5" s="14" t="n">
        <v>0</v>
      </c>
      <c r="S5" t="b">
        <v>1</v>
      </c>
      <c r="T5" t="b">
        <v>1</v>
      </c>
      <c r="U5" t="n">
        <v>0.8</v>
      </c>
    </row>
    <row r="6">
      <c r="A6" t="n">
        <v>20.00000000000001</v>
      </c>
      <c r="B6" s="14" t="n">
        <v>6.502527428523132</v>
      </c>
      <c r="C6" s="14" t="n">
        <v>4.510140835990316</v>
      </c>
      <c r="D6" s="14" t="n">
        <v>4.907082237594834</v>
      </c>
      <c r="E6" s="15" t="n">
        <v>9471.470642583408</v>
      </c>
      <c r="F6" s="15" t="n">
        <v>5164.005487553895</v>
      </c>
      <c r="G6" s="15" t="n">
        <v>898.6613000018327</v>
      </c>
      <c r="H6" s="15" t="n">
        <v>3408.803855027681</v>
      </c>
      <c r="I6" s="14" t="n">
        <v>7.37</v>
      </c>
      <c r="J6" s="14" t="n">
        <v>0</v>
      </c>
      <c r="K6" s="14" t="n">
        <v>2.14</v>
      </c>
      <c r="L6" s="14" t="n">
        <v>3.74</v>
      </c>
      <c r="M6" s="14" t="n">
        <v>20</v>
      </c>
      <c r="N6" s="14" t="n">
        <v>64.11</v>
      </c>
      <c r="O6" s="14" t="n">
        <v>0.28</v>
      </c>
      <c r="P6" s="14" t="n">
        <v>0</v>
      </c>
      <c r="Q6" s="14" t="n">
        <v>2.35</v>
      </c>
      <c r="R6" s="14" t="n">
        <v>0</v>
      </c>
      <c r="S6" t="b">
        <v>1</v>
      </c>
      <c r="T6" t="b">
        <v>1</v>
      </c>
      <c r="U6" t="n">
        <v>0.7</v>
      </c>
    </row>
    <row r="7">
      <c r="A7" t="n">
        <v>20.00000000000001</v>
      </c>
      <c r="B7" s="14" t="n">
        <v>6.317525729689116</v>
      </c>
      <c r="C7" s="14" t="n">
        <v>4.067213815144893</v>
      </c>
      <c r="D7" s="14" t="n">
        <v>4.280866108334049</v>
      </c>
      <c r="E7" s="15" t="n">
        <v>9495.192506779715</v>
      </c>
      <c r="F7" s="15" t="n">
        <v>5151.032488652072</v>
      </c>
      <c r="G7" s="15" t="n">
        <v>898.8550986120679</v>
      </c>
      <c r="H7" s="15" t="n">
        <v>3445.304919515575</v>
      </c>
      <c r="I7" s="14" t="n">
        <v>7.35</v>
      </c>
      <c r="J7" s="14" t="n">
        <v>0</v>
      </c>
      <c r="K7" s="14" t="n">
        <v>2.19</v>
      </c>
      <c r="L7" s="14" t="n">
        <v>4.58</v>
      </c>
      <c r="M7" s="14" t="n">
        <v>20</v>
      </c>
      <c r="N7" s="14" t="n">
        <v>63.22</v>
      </c>
      <c r="O7" s="14" t="n">
        <v>0.84</v>
      </c>
      <c r="P7" s="14" t="n">
        <v>0</v>
      </c>
      <c r="Q7" s="14" t="n">
        <v>1.8</v>
      </c>
      <c r="R7" s="14" t="n">
        <v>0</v>
      </c>
      <c r="S7" t="b">
        <v>1</v>
      </c>
      <c r="T7" t="b">
        <v>1</v>
      </c>
      <c r="U7" t="n">
        <v>0.6</v>
      </c>
    </row>
    <row r="8">
      <c r="A8" t="n">
        <v>20</v>
      </c>
      <c r="B8" s="14" t="n">
        <v>6.317525729689116</v>
      </c>
      <c r="C8" s="14" t="n">
        <v>3.659665555746376</v>
      </c>
      <c r="D8" s="14" t="n">
        <v>3.723297411059034</v>
      </c>
      <c r="E8" s="15" t="n">
        <v>9551.269877210005</v>
      </c>
      <c r="F8" s="15" t="n">
        <v>5138.372744568132</v>
      </c>
      <c r="G8" s="15" t="n">
        <v>896.9643980810904</v>
      </c>
      <c r="H8" s="15" t="n">
        <v>3515.932734560783</v>
      </c>
      <c r="I8" s="14" t="n">
        <v>6.67</v>
      </c>
      <c r="J8" s="14" t="n">
        <v>0.17</v>
      </c>
      <c r="K8" s="14" t="n">
        <v>1.78</v>
      </c>
      <c r="L8" s="14" t="n">
        <v>5.06</v>
      </c>
      <c r="M8" s="14" t="n">
        <v>20</v>
      </c>
      <c r="N8" s="14" t="n">
        <v>62.99</v>
      </c>
      <c r="O8" s="14" t="n">
        <v>1.06</v>
      </c>
      <c r="P8" s="14" t="n">
        <v>0</v>
      </c>
      <c r="Q8" s="14" t="n">
        <v>2.27</v>
      </c>
      <c r="R8" s="14" t="n">
        <v>0</v>
      </c>
      <c r="S8" t="b">
        <v>1</v>
      </c>
      <c r="T8" t="b">
        <v>1</v>
      </c>
      <c r="U8" t="n">
        <v>0.5</v>
      </c>
    </row>
    <row r="9">
      <c r="A9" t="n">
        <v>20</v>
      </c>
      <c r="B9" s="14" t="n">
        <v>5.152912050461893</v>
      </c>
      <c r="C9" s="14" t="n">
        <v>3.290072925606738</v>
      </c>
      <c r="D9" s="14" t="n">
        <v>3.196327967421337</v>
      </c>
      <c r="E9" s="15" t="n">
        <v>9594.702456991345</v>
      </c>
      <c r="F9" s="15" t="n">
        <v>5099.774139892573</v>
      </c>
      <c r="G9" s="15" t="n">
        <v>897.5695017330451</v>
      </c>
      <c r="H9" s="15" t="n">
        <v>3597.358815365727</v>
      </c>
      <c r="I9" s="14" t="n">
        <v>6.85</v>
      </c>
      <c r="J9" s="14" t="n">
        <v>0.22</v>
      </c>
      <c r="K9" s="14" t="n">
        <v>1.78</v>
      </c>
      <c r="L9" s="14" t="n">
        <v>5.71</v>
      </c>
      <c r="M9" s="14" t="n">
        <v>19.17</v>
      </c>
      <c r="N9" s="14" t="n">
        <v>62.3</v>
      </c>
      <c r="O9" s="14" t="n">
        <v>1.16</v>
      </c>
      <c r="P9" s="14" t="n">
        <v>0</v>
      </c>
      <c r="Q9" s="14" t="n">
        <v>2.82</v>
      </c>
      <c r="R9" s="14" t="n">
        <v>0</v>
      </c>
      <c r="S9" t="b">
        <v>1</v>
      </c>
      <c r="T9" t="b">
        <v>1</v>
      </c>
      <c r="U9" t="n">
        <v>0.4</v>
      </c>
    </row>
    <row r="10">
      <c r="A10" t="n">
        <v>20.00000000000001</v>
      </c>
      <c r="B10" s="14" t="n">
        <v>5.152912050461893</v>
      </c>
      <c r="C10" s="14" t="n">
        <v>3.017668834847021</v>
      </c>
      <c r="D10" s="14" t="n">
        <v>2.670861074405527</v>
      </c>
      <c r="E10" s="15" t="n">
        <v>9640.32742299114</v>
      </c>
      <c r="F10" s="15" t="n">
        <v>5056.645000388613</v>
      </c>
      <c r="G10" s="15" t="n">
        <v>898.428086637621</v>
      </c>
      <c r="H10" s="15" t="n">
        <v>3685.254335964906</v>
      </c>
      <c r="I10" s="14" t="n">
        <v>7.29</v>
      </c>
      <c r="J10" s="14" t="n">
        <v>0</v>
      </c>
      <c r="K10" s="14" t="n">
        <v>2.19</v>
      </c>
      <c r="L10" s="14" t="n">
        <v>7.01</v>
      </c>
      <c r="M10" s="14" t="n">
        <v>18.55</v>
      </c>
      <c r="N10" s="14" t="n">
        <v>60.8</v>
      </c>
      <c r="O10" s="14" t="n">
        <v>1.16</v>
      </c>
      <c r="P10" s="14" t="n">
        <v>0</v>
      </c>
      <c r="Q10" s="14" t="n">
        <v>3</v>
      </c>
      <c r="R10" s="14" t="n">
        <v>0</v>
      </c>
      <c r="S10" t="b">
        <v>1</v>
      </c>
      <c r="T10" t="b">
        <v>1</v>
      </c>
      <c r="U10" t="n">
        <v>0.3</v>
      </c>
    </row>
    <row r="11">
      <c r="A11" t="n">
        <v>20</v>
      </c>
      <c r="B11" s="14" t="n">
        <v>4.65705505963053</v>
      </c>
      <c r="C11" s="14" t="n">
        <v>2.70677617114106</v>
      </c>
      <c r="D11" s="14" t="n">
        <v>2.112550834011858</v>
      </c>
      <c r="E11" s="15" t="n">
        <v>9565.097438627528</v>
      </c>
      <c r="F11" s="15" t="n">
        <v>4785.509691981815</v>
      </c>
      <c r="G11" s="15" t="n">
        <v>914.1223749501462</v>
      </c>
      <c r="H11" s="15" t="n">
        <v>3865.465371695567</v>
      </c>
      <c r="I11" s="14" t="n">
        <v>6.97</v>
      </c>
      <c r="J11" s="14" t="n">
        <v>0</v>
      </c>
      <c r="K11" s="14" t="n">
        <v>3.09</v>
      </c>
      <c r="L11" s="14" t="n">
        <v>8.289999999999999</v>
      </c>
      <c r="M11" s="14" t="n">
        <v>11.58</v>
      </c>
      <c r="N11" s="14" t="n">
        <v>58.62</v>
      </c>
      <c r="O11" s="14" t="n">
        <v>1.16</v>
      </c>
      <c r="P11" s="14" t="n">
        <v>0</v>
      </c>
      <c r="Q11" s="14" t="n">
        <v>10.3</v>
      </c>
      <c r="R11" s="14" t="n">
        <v>0</v>
      </c>
      <c r="S11" t="b">
        <v>1</v>
      </c>
      <c r="T11" t="b">
        <v>1</v>
      </c>
      <c r="U11" t="n">
        <v>0.2</v>
      </c>
    </row>
    <row r="12">
      <c r="A12" t="n">
        <v>20</v>
      </c>
      <c r="B12" s="14" t="n">
        <v>4.65705505963053</v>
      </c>
      <c r="C12" s="14" t="n">
        <v>2.218151761886142</v>
      </c>
      <c r="D12" s="14" t="n">
        <v>1.451623337218208</v>
      </c>
      <c r="E12" s="15" t="n">
        <v>9926.811967619678</v>
      </c>
      <c r="F12" s="15" t="n">
        <v>4753.880058570648</v>
      </c>
      <c r="G12" s="15" t="n">
        <v>912.0792735694106</v>
      </c>
      <c r="H12" s="15" t="n">
        <v>4260.85263547962</v>
      </c>
      <c r="I12" s="14" t="n">
        <v>7.02</v>
      </c>
      <c r="J12" s="14" t="n">
        <v>0</v>
      </c>
      <c r="K12" s="14" t="n">
        <v>2.28</v>
      </c>
      <c r="L12" s="14" t="n">
        <v>13.55</v>
      </c>
      <c r="M12" s="14" t="n">
        <v>12.31</v>
      </c>
      <c r="N12" s="14" t="n">
        <v>54.17</v>
      </c>
      <c r="O12" s="14" t="n">
        <v>1.16</v>
      </c>
      <c r="P12" s="14" t="n">
        <v>0</v>
      </c>
      <c r="Q12" s="14" t="n">
        <v>9.51</v>
      </c>
      <c r="R12" s="14" t="n">
        <v>0</v>
      </c>
      <c r="S12" t="b">
        <v>1</v>
      </c>
      <c r="T12" t="b">
        <v>1</v>
      </c>
      <c r="U12" t="n">
        <v>0.1</v>
      </c>
    </row>
    <row r="13">
      <c r="A13" t="n">
        <v>20.00000000000001</v>
      </c>
      <c r="B13" s="14" t="n">
        <v>4.65705505963053</v>
      </c>
      <c r="C13" s="14" t="n">
        <v>2.070141688138833</v>
      </c>
      <c r="D13" s="14" t="n">
        <v>1.012850377771075</v>
      </c>
      <c r="E13" s="15" t="n">
        <v>10122.50048946309</v>
      </c>
      <c r="F13" s="15" t="n">
        <v>4698.720536449028</v>
      </c>
      <c r="G13" s="15" t="n">
        <v>916.9550849479792</v>
      </c>
      <c r="H13" s="15" t="n">
        <v>4506.824868066087</v>
      </c>
      <c r="I13" s="14" t="n">
        <v>6.7</v>
      </c>
      <c r="J13" s="14" t="n">
        <v>0.14</v>
      </c>
      <c r="K13" s="14" t="n">
        <v>1.78</v>
      </c>
      <c r="L13" s="14" t="n">
        <v>16.18</v>
      </c>
      <c r="M13" s="14" t="n">
        <v>11.38</v>
      </c>
      <c r="N13" s="14" t="n">
        <v>51.91</v>
      </c>
      <c r="O13" s="14" t="n">
        <v>1.16</v>
      </c>
      <c r="P13" s="14" t="n">
        <v>0</v>
      </c>
      <c r="Q13" s="14" t="n">
        <v>10.77</v>
      </c>
      <c r="R13" s="14" t="n">
        <v>0</v>
      </c>
      <c r="S13" t="b">
        <v>1</v>
      </c>
      <c r="T13" t="b">
        <v>1</v>
      </c>
      <c r="U13" t="n">
        <v>0.05</v>
      </c>
    </row>
    <row r="14">
      <c r="A14" t="n">
        <v>20</v>
      </c>
      <c r="B14" s="14" t="n">
        <v>4.65705505963053</v>
      </c>
      <c r="C14" s="14" t="n">
        <v>1.804729825901729</v>
      </c>
      <c r="D14" s="14" t="n">
        <v>0.4483377265745435</v>
      </c>
      <c r="E14" s="15" t="n">
        <v>10648.59016058209</v>
      </c>
      <c r="F14" s="15" t="n">
        <v>4781.919822076051</v>
      </c>
      <c r="G14" s="15" t="n">
        <v>894.4456651145937</v>
      </c>
      <c r="H14" s="15" t="n">
        <v>4972.224673391448</v>
      </c>
      <c r="I14" s="14" t="n">
        <v>5.92</v>
      </c>
      <c r="J14" s="14" t="n">
        <v>0</v>
      </c>
      <c r="K14" s="14" t="n">
        <v>1.78</v>
      </c>
      <c r="L14" s="14" t="n">
        <v>28.39</v>
      </c>
      <c r="M14" s="14" t="n">
        <v>20</v>
      </c>
      <c r="N14" s="14" t="n">
        <v>41.76</v>
      </c>
      <c r="O14" s="14" t="n">
        <v>0.39</v>
      </c>
      <c r="P14" s="14" t="n">
        <v>0</v>
      </c>
      <c r="Q14" s="14" t="n">
        <v>1.76</v>
      </c>
      <c r="R14" s="14" t="n">
        <v>0</v>
      </c>
      <c r="S14" t="b">
        <v>1</v>
      </c>
      <c r="T14" t="b">
        <v>1</v>
      </c>
      <c r="U14" t="n">
        <v>0.01</v>
      </c>
    </row>
    <row r="15">
      <c r="A15" t="n">
        <v>50</v>
      </c>
      <c r="B15" s="14" t="n">
        <v>7.155556254155416</v>
      </c>
      <c r="C15" s="14" t="n">
        <v>5.911735779009457</v>
      </c>
      <c r="D15" s="14" t="n">
        <v>9.597051824376162</v>
      </c>
      <c r="E15" s="15" t="n">
        <v>3866.73465122923</v>
      </c>
      <c r="F15" s="15" t="n">
        <v>1927.074899584603</v>
      </c>
      <c r="G15" s="15" t="n">
        <v>350.3723284121308</v>
      </c>
      <c r="H15" s="15" t="n">
        <v>1589.287423232496</v>
      </c>
      <c r="I15" s="14" t="n">
        <v>7.02</v>
      </c>
      <c r="J15" s="14" t="n">
        <v>0</v>
      </c>
      <c r="K15" s="14" t="n">
        <v>4.44</v>
      </c>
      <c r="L15" s="14" t="n">
        <v>72.41</v>
      </c>
      <c r="M15" s="14" t="n">
        <v>16.13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t="b">
        <v>1</v>
      </c>
      <c r="T15" t="b">
        <v>1</v>
      </c>
      <c r="U15" t="n">
        <v>0.99</v>
      </c>
    </row>
    <row r="16">
      <c r="A16" t="n">
        <v>50</v>
      </c>
      <c r="B16" s="14" t="n">
        <v>6.317525729689116</v>
      </c>
      <c r="C16" s="14" t="n">
        <v>3.659665555746376</v>
      </c>
      <c r="D16" s="14" t="n">
        <v>3.723297411059034</v>
      </c>
      <c r="E16" s="15" t="n">
        <v>3911.59835143185</v>
      </c>
      <c r="F16" s="15" t="n">
        <v>1896.827519961197</v>
      </c>
      <c r="G16" s="15" t="n">
        <v>348.6844440475287</v>
      </c>
      <c r="H16" s="15" t="n">
        <v>1666.086387423125</v>
      </c>
      <c r="I16" s="14" t="n">
        <v>6.92</v>
      </c>
      <c r="J16" s="14" t="n">
        <v>0</v>
      </c>
      <c r="K16" s="14" t="n">
        <v>4.44</v>
      </c>
      <c r="L16" s="14" t="n">
        <v>56.77</v>
      </c>
      <c r="M16" s="14" t="n">
        <v>13.79</v>
      </c>
      <c r="N16" s="14" t="n">
        <v>13.87</v>
      </c>
      <c r="O16" s="14" t="n">
        <v>1.34</v>
      </c>
      <c r="P16" s="14" t="n">
        <v>0</v>
      </c>
      <c r="Q16" s="14" t="n">
        <v>2.87</v>
      </c>
      <c r="R16" s="14" t="n">
        <v>0</v>
      </c>
      <c r="S16" t="b">
        <v>1</v>
      </c>
      <c r="T16" t="b">
        <v>1</v>
      </c>
      <c r="U16" t="n">
        <v>0.5</v>
      </c>
    </row>
    <row r="17">
      <c r="A17" t="n">
        <v>50</v>
      </c>
      <c r="B17" s="14" t="n">
        <v>4.65705505963053</v>
      </c>
      <c r="C17" s="14" t="n">
        <v>2.070141688138833</v>
      </c>
      <c r="D17" s="14" t="n">
        <v>1.012850377771075</v>
      </c>
      <c r="E17" s="15" t="n">
        <v>4216.548335494039</v>
      </c>
      <c r="F17" s="15" t="n">
        <v>1790.422510109466</v>
      </c>
      <c r="G17" s="15" t="n">
        <v>349.1111207313522</v>
      </c>
      <c r="H17" s="15" t="n">
        <v>2077.01470465322</v>
      </c>
      <c r="I17" s="14" t="n">
        <v>6.71</v>
      </c>
      <c r="J17" s="14" t="n">
        <v>0</v>
      </c>
      <c r="K17" s="14" t="n">
        <v>4.44</v>
      </c>
      <c r="L17" s="14" t="n">
        <v>44.84</v>
      </c>
      <c r="M17" s="14" t="n">
        <v>8.58</v>
      </c>
      <c r="N17" s="14" t="n">
        <v>24.11</v>
      </c>
      <c r="O17" s="14" t="n">
        <v>2.33</v>
      </c>
      <c r="P17" s="14" t="n">
        <v>0</v>
      </c>
      <c r="Q17" s="14" t="n">
        <v>8.99</v>
      </c>
      <c r="R17" s="14" t="n">
        <v>0</v>
      </c>
      <c r="S17" t="b">
        <v>1</v>
      </c>
      <c r="T17" t="b">
        <v>1</v>
      </c>
      <c r="U17" t="n">
        <v>0.05</v>
      </c>
    </row>
    <row r="18">
      <c r="A18" t="n">
        <v>50</v>
      </c>
      <c r="B18" s="14" t="n">
        <v>4.65705505963053</v>
      </c>
      <c r="C18" s="14" t="n">
        <v>1.804729825901729</v>
      </c>
      <c r="D18" s="14" t="n">
        <v>0.4483377265745435</v>
      </c>
      <c r="E18" s="15" t="n">
        <v>4473.592113220098</v>
      </c>
      <c r="F18" s="15" t="n">
        <v>1863.867735087701</v>
      </c>
      <c r="G18" s="15" t="n">
        <v>350.2837743110498</v>
      </c>
      <c r="H18" s="15" t="n">
        <v>2259.440603821348</v>
      </c>
      <c r="I18" s="14" t="n">
        <v>5.98</v>
      </c>
      <c r="J18" s="14" t="n">
        <v>0</v>
      </c>
      <c r="K18" s="14" t="n">
        <v>4.44</v>
      </c>
      <c r="L18" s="14" t="n">
        <v>32.64</v>
      </c>
      <c r="M18" s="14" t="n">
        <v>20</v>
      </c>
      <c r="N18" s="14" t="n">
        <v>36.94</v>
      </c>
      <c r="O18" s="14" t="n">
        <v>0</v>
      </c>
      <c r="P18" s="14" t="n">
        <v>0</v>
      </c>
      <c r="Q18" s="14" t="n">
        <v>0</v>
      </c>
      <c r="R18" s="14" t="n">
        <v>0</v>
      </c>
      <c r="S18" t="b">
        <v>1</v>
      </c>
      <c r="T18" t="b">
        <v>1</v>
      </c>
      <c r="U18" t="n">
        <v>0.01</v>
      </c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2" t="n"/>
      <c r="Q19" s="12" t="n"/>
      <c r="R19" s="12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2" t="n"/>
      <c r="Q20" s="12" t="n"/>
      <c r="R20" s="12" t="n"/>
    </row>
    <row r="21">
      <c r="A21" s="14" t="n"/>
      <c r="C21" s="14" t="n"/>
      <c r="D21" s="14" t="n"/>
      <c r="E21" s="14" t="n"/>
      <c r="F21" s="15" t="n"/>
      <c r="G21" s="15" t="n"/>
      <c r="H21" s="15" t="n"/>
      <c r="I21" s="15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</row>
    <row r="22">
      <c r="C22" s="14" t="n"/>
      <c r="D22" s="14" t="n"/>
      <c r="E22" s="14" t="n"/>
      <c r="F22" s="15" t="n"/>
      <c r="G22" s="15" t="n"/>
      <c r="H22" s="15" t="n"/>
      <c r="I22" s="15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</row>
    <row r="23">
      <c r="C23" s="14" t="n"/>
      <c r="D23" s="14" t="n"/>
      <c r="E23" s="14" t="n"/>
      <c r="F23" s="15" t="n"/>
      <c r="G23" s="15" t="n"/>
      <c r="H23" s="15" t="n"/>
      <c r="I23" s="15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</row>
    <row r="24">
      <c r="C24" s="14" t="n"/>
      <c r="D24" s="14" t="n"/>
      <c r="E24" s="14" t="n"/>
      <c r="F24" s="15" t="n"/>
      <c r="G24" s="15" t="n"/>
      <c r="H24" s="15" t="n"/>
      <c r="I24" s="15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</row>
    <row r="25">
      <c r="C25" s="14" t="n"/>
      <c r="D25" s="14" t="n"/>
      <c r="E25" s="14" t="n"/>
      <c r="F25" s="15" t="n"/>
      <c r="G25" s="15" t="n"/>
      <c r="H25" s="15" t="n"/>
      <c r="I25" s="15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</row>
    <row r="26">
      <c r="C26" s="14" t="n"/>
      <c r="D26" s="14" t="n"/>
      <c r="E26" s="14" t="n"/>
      <c r="F26" s="15" t="n"/>
      <c r="G26" s="15" t="n"/>
      <c r="H26" s="15" t="n"/>
      <c r="I26" s="15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</row>
    <row r="27">
      <c r="C27" s="14" t="n"/>
      <c r="D27" s="14" t="n"/>
      <c r="E27" s="14" t="n"/>
      <c r="F27" s="15" t="n"/>
      <c r="G27" s="15" t="n"/>
      <c r="H27" s="15" t="n"/>
      <c r="I27" s="15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</row>
    <row r="28">
      <c r="C28" s="14" t="n"/>
      <c r="D28" s="14" t="n"/>
      <c r="E28" s="14" t="n"/>
      <c r="F28" s="15" t="n"/>
      <c r="G28" s="15" t="n"/>
      <c r="H28" s="15" t="n"/>
      <c r="I28" s="15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</row>
    <row r="29">
      <c r="C29" s="14" t="n"/>
      <c r="D29" s="14" t="n"/>
      <c r="E29" s="14" t="n"/>
      <c r="F29" s="15" t="n"/>
      <c r="G29" s="15" t="n"/>
      <c r="H29" s="15" t="n"/>
      <c r="I29" s="15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</row>
    <row r="30">
      <c r="C30" s="14" t="n"/>
      <c r="D30" s="14" t="n"/>
      <c r="E30" s="14" t="n"/>
      <c r="F30" s="15" t="n"/>
      <c r="G30" s="15" t="n"/>
      <c r="H30" s="15" t="n"/>
      <c r="I30" s="15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</row>
    <row r="31">
      <c r="C31" s="14" t="n"/>
      <c r="D31" s="14" t="n"/>
      <c r="E31" s="14" t="n"/>
      <c r="F31" s="15" t="n"/>
      <c r="G31" s="15" t="n"/>
      <c r="H31" s="15" t="n"/>
      <c r="I31" s="15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</row>
    <row r="32">
      <c r="C32" s="14" t="n"/>
      <c r="D32" s="14" t="n"/>
      <c r="E32" s="14" t="n"/>
      <c r="F32" s="15" t="n"/>
      <c r="G32" s="15" t="n"/>
      <c r="H32" s="15" t="n"/>
      <c r="I32" s="15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</row>
    <row r="33">
      <c r="C33" s="14" t="n"/>
      <c r="D33" s="14" t="n"/>
      <c r="E33" s="14" t="n"/>
      <c r="F33" s="15" t="n"/>
      <c r="G33" s="15" t="n"/>
      <c r="H33" s="15" t="n"/>
      <c r="I33" s="15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</row>
    <row r="34">
      <c r="C34" s="14" t="n"/>
      <c r="D34" s="14" t="n"/>
      <c r="E34" s="14" t="n"/>
      <c r="F34" s="15" t="n"/>
      <c r="G34" s="15" t="n"/>
      <c r="H34" s="15" t="n"/>
      <c r="I34" s="15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</row>
    <row r="35">
      <c r="C35" s="14" t="n"/>
      <c r="D35" s="14" t="n"/>
      <c r="E35" s="14" t="n"/>
      <c r="F35" s="15" t="n"/>
      <c r="G35" s="15" t="n"/>
      <c r="H35" s="15" t="n"/>
      <c r="I35" s="15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</row>
    <row r="36">
      <c r="C36" s="14" t="n"/>
      <c r="D36" s="14" t="n"/>
      <c r="E36" s="14" t="n"/>
      <c r="F36" s="15" t="n"/>
      <c r="G36" s="15" t="n"/>
      <c r="H36" s="15" t="n"/>
      <c r="I36" s="15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</row>
    <row r="37">
      <c r="C37" s="14" t="n"/>
      <c r="D37" s="14" t="n"/>
      <c r="E37" s="14" t="n"/>
      <c r="F37" s="15" t="n"/>
      <c r="G37" s="15" t="n"/>
      <c r="H37" s="15" t="n"/>
      <c r="I37" s="15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</row>
    <row r="38">
      <c r="C38" s="14" t="n"/>
      <c r="D38" s="14" t="n"/>
      <c r="E38" s="14" t="n"/>
      <c r="F38" s="15" t="n"/>
      <c r="G38" s="15" t="n"/>
      <c r="H38" s="15" t="n"/>
      <c r="I38" s="15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</row>
    <row r="39">
      <c r="C39" s="14" t="n"/>
      <c r="D39" s="14" t="n"/>
      <c r="E39" s="14" t="n"/>
      <c r="F39" s="15" t="n"/>
      <c r="G39" s="15" t="n"/>
      <c r="H39" s="15" t="n"/>
      <c r="I39" s="15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</row>
    <row r="40">
      <c r="C40" s="14" t="n"/>
      <c r="D40" s="14" t="n"/>
      <c r="E40" s="14" t="n"/>
      <c r="F40" s="15" t="n"/>
      <c r="G40" s="15" t="n"/>
      <c r="H40" s="15" t="n"/>
      <c r="I40" s="15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</row>
    <row r="41">
      <c r="C41" s="14" t="n"/>
      <c r="D41" s="14" t="n"/>
      <c r="E41" s="14" t="n"/>
      <c r="F41" s="15" t="n"/>
      <c r="G41" s="15" t="n"/>
      <c r="H41" s="15" t="n"/>
      <c r="I41" s="15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</row>
    <row r="42">
      <c r="C42" s="14" t="n"/>
      <c r="D42" s="14" t="n"/>
      <c r="E42" s="14" t="n"/>
      <c r="F42" s="15" t="n"/>
      <c r="G42" s="15" t="n"/>
      <c r="H42" s="15" t="n"/>
      <c r="I42" s="15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</row>
    <row r="43">
      <c r="C43" s="14" t="n"/>
      <c r="D43" s="14" t="n"/>
      <c r="E43" s="14" t="n"/>
      <c r="F43" s="15" t="n"/>
      <c r="G43" s="15" t="n"/>
      <c r="H43" s="15" t="n"/>
      <c r="I43" s="15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</row>
    <row r="44">
      <c r="C44" s="14" t="n"/>
      <c r="D44" s="14" t="n"/>
      <c r="E44" s="14" t="n"/>
      <c r="F44" s="15" t="n"/>
      <c r="G44" s="15" t="n"/>
      <c r="H44" s="15" t="n"/>
      <c r="I44" s="15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</row>
    <row r="45">
      <c r="C45" s="14" t="n"/>
      <c r="D45" s="14" t="n"/>
      <c r="E45" s="14" t="n"/>
      <c r="F45" s="15" t="n"/>
      <c r="G45" s="15" t="n"/>
      <c r="H45" s="15" t="n"/>
      <c r="I45" s="15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</row>
    <row r="46">
      <c r="C46" s="14" t="n"/>
      <c r="D46" s="14" t="n"/>
      <c r="E46" s="14" t="n"/>
      <c r="F46" s="15" t="n"/>
      <c r="G46" s="15" t="n"/>
      <c r="H46" s="15" t="n"/>
      <c r="I46" s="15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</row>
    <row r="47">
      <c r="C47" s="14" t="n"/>
      <c r="D47" s="14" t="n"/>
      <c r="E47" s="14" t="n"/>
      <c r="F47" s="15" t="n"/>
      <c r="G47" s="15" t="n"/>
      <c r="H47" s="15" t="n"/>
      <c r="I47" s="15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</row>
    <row r="48">
      <c r="E48" s="14" t="n"/>
      <c r="F48" s="14" t="n"/>
      <c r="G48" s="14" t="n"/>
      <c r="H48" s="15" t="n"/>
      <c r="I48" s="15" t="n"/>
      <c r="J48" s="15" t="n"/>
      <c r="K48" s="15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</row>
    <row r="49">
      <c r="E49" s="14" t="n"/>
      <c r="F49" s="14" t="n"/>
      <c r="G49" s="14" t="n"/>
      <c r="H49" s="15" t="n"/>
      <c r="I49" s="15" t="n"/>
      <c r="J49" s="15" t="n"/>
      <c r="K49" s="15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</row>
    <row r="50">
      <c r="E50" s="14" t="n"/>
      <c r="F50" s="14" t="n"/>
      <c r="G50" s="14" t="n"/>
      <c r="H50" s="15" t="n"/>
      <c r="I50" s="15" t="n"/>
      <c r="J50" s="15" t="n"/>
      <c r="K50" s="15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2025-10-21T14:16:56Z</dcterms:modified>
  <cp:lastModifiedBy>Davide Carecci</cp:lastModifiedBy>
</cp:coreProperties>
</file>