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Robust Optimization/"/>
    </mc:Choice>
  </mc:AlternateContent>
  <xr:revisionPtr revIDLastSave="271" documentId="8_{133174BC-134E-4C13-9219-5D3057E94127}" xr6:coauthVersionLast="47" xr6:coauthVersionMax="47" xr10:uidLastSave="{49E7F298-7B8D-4EE2-A784-51DA082E4B61}"/>
  <bookViews>
    <workbookView xWindow="-120" yWindow="-120" windowWidth="29040" windowHeight="15720" activeTab="3" xr2:uid="{66A798E0-9E9A-4626-9FF9-44F67D5440CA}"/>
  </bookViews>
  <sheets>
    <sheet name="Foglio1" sheetId="5" r:id="rId1"/>
    <sheet name="Item characteristics" sheetId="1" r:id="rId2"/>
    <sheet name="Distance" sheetId="2" r:id="rId3"/>
    <sheet name="Purchase prices" sheetId="3" r:id="rId4"/>
    <sheet name="Availabilit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5" l="1"/>
  <c r="G3" i="1"/>
  <c r="G4" i="1"/>
  <c r="G5" i="1"/>
  <c r="K3" i="1" l="1"/>
  <c r="K5" i="1"/>
  <c r="K4" i="1"/>
</calcChain>
</file>

<file path=xl/sharedStrings.xml><?xml version="1.0" encoding="utf-8"?>
<sst xmlns="http://schemas.openxmlformats.org/spreadsheetml/2006/main" count="72" uniqueCount="41">
  <si>
    <t>Ct</t>
  </si>
  <si>
    <t>VS</t>
  </si>
  <si>
    <t>BMPinf</t>
  </si>
  <si>
    <t>a</t>
  </si>
  <si>
    <t>b</t>
  </si>
  <si>
    <t>c</t>
  </si>
  <si>
    <t>d</t>
  </si>
  <si>
    <t>e</t>
  </si>
  <si>
    <t>TKN</t>
  </si>
  <si>
    <t>C/N</t>
  </si>
  <si>
    <t>TS</t>
  </si>
  <si>
    <t>TAN</t>
  </si>
  <si>
    <t>TAC</t>
  </si>
  <si>
    <t>COD/VS</t>
  </si>
  <si>
    <t>LI</t>
  </si>
  <si>
    <t>TVFA</t>
  </si>
  <si>
    <t>Cow slurry</t>
  </si>
  <si>
    <t>Tomato souce</t>
  </si>
  <si>
    <t>Maize silage</t>
  </si>
  <si>
    <t>rho</t>
  </si>
  <si>
    <t>kgVS/tonFM</t>
  </si>
  <si>
    <t>kgTS/tonFM</t>
  </si>
  <si>
    <t>kgFM/m3FM</t>
  </si>
  <si>
    <t>Nm3CH4/tonVS</t>
  </si>
  <si>
    <t>€/km/tonFM</t>
  </si>
  <si>
    <t>kgN/tonFM</t>
  </si>
  <si>
    <t>molC/molN</t>
  </si>
  <si>
    <t>kgCaCO3/tonFM</t>
  </si>
  <si>
    <t>kgCOD/kgVS</t>
  </si>
  <si>
    <t>kgLI/kgFM</t>
  </si>
  <si>
    <t>kgHAc/kgFM</t>
  </si>
  <si>
    <t>km</t>
  </si>
  <si>
    <t>€/tonFM</t>
  </si>
  <si>
    <t>tonFM</t>
  </si>
  <si>
    <t>V</t>
  </si>
  <si>
    <t>N</t>
  </si>
  <si>
    <t>m3</t>
  </si>
  <si>
    <t>days</t>
  </si>
  <si>
    <t>HRT</t>
  </si>
  <si>
    <t>k_hyd</t>
  </si>
  <si>
    <t>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</si>
</sst>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0" fontId="2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E0EC-70DB-4BBF-BA9C-DE9A58926FC4}">
  <dimension ref="A1:I8"/>
  <sheetViews>
    <sheetView workbookViewId="0">
      <selection activeCell="D5" sqref="D5"/>
    </sheetView>
  </sheetViews>
  <sheetFormatPr defaultRowHeight="15"/>
  <cols>
    <col min="1" max="1" width="13.5703125" bestFit="1" customWidth="1"/>
    <col min="2" max="2" width="11" bestFit="1" customWidth="1"/>
  </cols>
  <sheetData>
    <row r="1" spans="1:9"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9">
      <c r="A2" t="s">
        <v>17</v>
      </c>
    </row>
    <row r="3" spans="1:9">
      <c r="A3" t="s">
        <v>16</v>
      </c>
      <c r="B3">
        <v>16300</v>
      </c>
      <c r="D3">
        <v>5000</v>
      </c>
    </row>
    <row r="4" spans="1:9">
      <c r="A4" t="s">
        <v>18</v>
      </c>
      <c r="D4">
        <v>7455</v>
      </c>
    </row>
    <row r="5" spans="1:9">
      <c r="A5" t="s">
        <v>34</v>
      </c>
      <c r="B5">
        <v>6390</v>
      </c>
      <c r="C5" t="s">
        <v>36</v>
      </c>
    </row>
    <row r="6" spans="1:9">
      <c r="A6" t="s">
        <v>35</v>
      </c>
      <c r="B6">
        <v>90</v>
      </c>
      <c r="C6" t="s">
        <v>37</v>
      </c>
      <c r="I6" s="3"/>
    </row>
    <row r="7" spans="1:9">
      <c r="A7" t="s">
        <v>38</v>
      </c>
      <c r="B7">
        <f>B5/(SUM(B2:D4)/B6)</f>
        <v>20</v>
      </c>
      <c r="C7" t="s">
        <v>37</v>
      </c>
      <c r="I7" s="3"/>
    </row>
    <row r="8" spans="1:9">
      <c r="I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CA70-3B8D-4DF4-BACF-B592D887B522}">
  <dimension ref="A1:N5"/>
  <sheetViews>
    <sheetView zoomScale="115" zoomScaleNormal="115" workbookViewId="0">
      <selection activeCell="E4" sqref="E4"/>
    </sheetView>
  </sheetViews>
  <sheetFormatPr defaultRowHeight="15"/>
  <cols>
    <col min="1" max="1" width="13.5703125" bestFit="1" customWidth="1"/>
    <col min="2" max="2" width="13.5703125" customWidth="1"/>
    <col min="3" max="3" width="11.7109375" bestFit="1" customWidth="1"/>
    <col min="4" max="4" width="11.42578125" bestFit="1" customWidth="1"/>
    <col min="5" max="5" width="15" bestFit="1" customWidth="1"/>
    <col min="6" max="6" width="11.5703125" bestFit="1" customWidth="1"/>
    <col min="7" max="7" width="10.5703125" bestFit="1" customWidth="1"/>
    <col min="8" max="8" width="10.85546875" bestFit="1" customWidth="1"/>
    <col min="9" max="9" width="10.5703125" bestFit="1" customWidth="1"/>
    <col min="10" max="10" width="15.7109375" bestFit="1" customWidth="1"/>
    <col min="11" max="11" width="12.140625" bestFit="1" customWidth="1"/>
    <col min="12" max="12" width="9.85546875" bestFit="1" customWidth="1"/>
    <col min="13" max="13" width="11.85546875" bestFit="1" customWidth="1"/>
  </cols>
  <sheetData>
    <row r="1" spans="1:14">
      <c r="B1" t="s">
        <v>19</v>
      </c>
      <c r="C1" t="s">
        <v>10</v>
      </c>
      <c r="D1" t="s">
        <v>1</v>
      </c>
      <c r="E1" t="s">
        <v>2</v>
      </c>
      <c r="F1" t="s">
        <v>0</v>
      </c>
      <c r="G1" t="s">
        <v>8</v>
      </c>
      <c r="H1" t="s">
        <v>9</v>
      </c>
      <c r="I1" t="s">
        <v>11</v>
      </c>
      <c r="J1" t="s">
        <v>12</v>
      </c>
      <c r="K1" t="s">
        <v>14</v>
      </c>
      <c r="L1" t="s">
        <v>15</v>
      </c>
      <c r="M1" t="s">
        <v>13</v>
      </c>
      <c r="N1" t="s">
        <v>39</v>
      </c>
    </row>
    <row r="2" spans="1:14">
      <c r="B2" t="s">
        <v>22</v>
      </c>
      <c r="C2" t="s">
        <v>21</v>
      </c>
      <c r="D2" t="s">
        <v>20</v>
      </c>
      <c r="E2" t="s">
        <v>23</v>
      </c>
      <c r="F2" t="s">
        <v>24</v>
      </c>
      <c r="G2" t="s">
        <v>25</v>
      </c>
      <c r="H2" t="s">
        <v>26</v>
      </c>
      <c r="I2" t="s">
        <v>25</v>
      </c>
      <c r="J2" t="s">
        <v>27</v>
      </c>
      <c r="K2" t="s">
        <v>29</v>
      </c>
      <c r="L2" t="s">
        <v>30</v>
      </c>
      <c r="M2" t="s">
        <v>28</v>
      </c>
      <c r="N2" t="s">
        <v>40</v>
      </c>
    </row>
    <row r="3" spans="1:14">
      <c r="A3" t="s">
        <v>17</v>
      </c>
      <c r="B3" s="1">
        <v>1</v>
      </c>
      <c r="C3" s="1">
        <v>70</v>
      </c>
      <c r="D3" s="1">
        <v>65</v>
      </c>
      <c r="E3" s="1">
        <v>350</v>
      </c>
      <c r="F3" s="1">
        <v>0.6</v>
      </c>
      <c r="G3" s="1">
        <f>2.2+I3</f>
        <v>2.2000000000000002</v>
      </c>
      <c r="H3" s="2">
        <v>17.5</v>
      </c>
      <c r="I3" s="1">
        <v>0</v>
      </c>
      <c r="J3" s="1">
        <v>0</v>
      </c>
      <c r="K3" s="1">
        <f>0*C3</f>
        <v>0</v>
      </c>
      <c r="L3" s="1">
        <v>3</v>
      </c>
      <c r="M3" s="1">
        <v>1.3</v>
      </c>
      <c r="N3" s="1">
        <v>0.8</v>
      </c>
    </row>
    <row r="4" spans="1:14">
      <c r="A4" t="s">
        <v>16</v>
      </c>
      <c r="B4" s="1">
        <v>1</v>
      </c>
      <c r="C4" s="1">
        <v>70</v>
      </c>
      <c r="D4" s="1">
        <v>50</v>
      </c>
      <c r="E4" s="1">
        <v>200</v>
      </c>
      <c r="F4" s="1">
        <v>0.5</v>
      </c>
      <c r="G4" s="1">
        <f>1.6+I4</f>
        <v>3.1</v>
      </c>
      <c r="H4" s="2">
        <v>18.8</v>
      </c>
      <c r="I4" s="1">
        <v>1.5</v>
      </c>
      <c r="J4" s="1">
        <v>10</v>
      </c>
      <c r="K4" s="1">
        <f>0.05*C4</f>
        <v>3.5</v>
      </c>
      <c r="L4" s="1">
        <v>5</v>
      </c>
      <c r="M4" s="1">
        <v>1.4</v>
      </c>
      <c r="N4" s="1">
        <v>0.3</v>
      </c>
    </row>
    <row r="5" spans="1:14">
      <c r="A5" t="s">
        <v>18</v>
      </c>
      <c r="B5" s="1">
        <v>0.5</v>
      </c>
      <c r="C5" s="1">
        <v>350</v>
      </c>
      <c r="D5" s="1">
        <v>320</v>
      </c>
      <c r="E5" s="1">
        <v>350</v>
      </c>
      <c r="F5" s="1">
        <v>0.6</v>
      </c>
      <c r="G5" s="1">
        <f>3.19+I5</f>
        <v>3.69</v>
      </c>
      <c r="H5" s="2">
        <v>48.8</v>
      </c>
      <c r="I5" s="1">
        <v>0.5</v>
      </c>
      <c r="J5" s="1">
        <v>0</v>
      </c>
      <c r="K5" s="1">
        <f>0.025*C5</f>
        <v>8.75</v>
      </c>
      <c r="L5" s="1">
        <v>10</v>
      </c>
      <c r="M5" s="1">
        <v>1.2</v>
      </c>
      <c r="N5" s="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D964-1DBF-442F-96AD-DD78914AF189}">
  <dimension ref="A1:B7"/>
  <sheetViews>
    <sheetView workbookViewId="0">
      <selection activeCell="D15" sqref="D15"/>
    </sheetView>
  </sheetViews>
  <sheetFormatPr defaultRowHeight="15"/>
  <sheetData>
    <row r="1" spans="1:2">
      <c r="B1" t="s">
        <v>6</v>
      </c>
    </row>
    <row r="2" spans="1:2">
      <c r="B2" t="s">
        <v>31</v>
      </c>
    </row>
    <row r="3" spans="1:2">
      <c r="A3" t="s">
        <v>3</v>
      </c>
      <c r="B3" s="1">
        <v>10</v>
      </c>
    </row>
    <row r="4" spans="1:2">
      <c r="A4" t="s">
        <v>4</v>
      </c>
      <c r="B4" s="1">
        <v>30</v>
      </c>
    </row>
    <row r="5" spans="1:2">
      <c r="A5" t="s">
        <v>5</v>
      </c>
      <c r="B5" s="1">
        <v>5</v>
      </c>
    </row>
    <row r="6" spans="1:2">
      <c r="A6" t="s">
        <v>6</v>
      </c>
      <c r="B6" s="1">
        <v>20</v>
      </c>
    </row>
    <row r="7" spans="1:2">
      <c r="A7" t="s">
        <v>7</v>
      </c>
      <c r="B7" s="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FB96-22CB-4B43-9A87-9AB2DFEB458D}">
  <dimension ref="A1:D7"/>
  <sheetViews>
    <sheetView tabSelected="1" zoomScale="145" zoomScaleNormal="145" workbookViewId="0">
      <selection activeCell="C1" sqref="C1"/>
    </sheetView>
  </sheetViews>
  <sheetFormatPr defaultRowHeight="15"/>
  <sheetData>
    <row r="1" spans="1:4">
      <c r="B1" t="s">
        <v>17</v>
      </c>
      <c r="C1" t="s">
        <v>16</v>
      </c>
      <c r="D1" t="s">
        <v>18</v>
      </c>
    </row>
    <row r="2" spans="1:4">
      <c r="B2" t="s">
        <v>32</v>
      </c>
      <c r="C2" t="s">
        <v>32</v>
      </c>
      <c r="D2" t="s">
        <v>32</v>
      </c>
    </row>
    <row r="3" spans="1:4">
      <c r="A3" t="s">
        <v>3</v>
      </c>
      <c r="B3" s="1">
        <v>200</v>
      </c>
      <c r="C3" s="1">
        <v>6</v>
      </c>
      <c r="D3" s="1">
        <v>60</v>
      </c>
    </row>
    <row r="4" spans="1:4">
      <c r="A4" t="s">
        <v>4</v>
      </c>
      <c r="B4" s="1">
        <v>40</v>
      </c>
      <c r="C4" s="1">
        <v>20</v>
      </c>
      <c r="D4" s="1">
        <v>75</v>
      </c>
    </row>
    <row r="5" spans="1:4">
      <c r="A5" t="s">
        <v>5</v>
      </c>
      <c r="B5" s="1">
        <v>300</v>
      </c>
      <c r="C5" s="1">
        <v>3</v>
      </c>
      <c r="D5" s="1">
        <v>45</v>
      </c>
    </row>
    <row r="6" spans="1:4">
      <c r="A6" t="s">
        <v>6</v>
      </c>
      <c r="B6" s="1">
        <v>100</v>
      </c>
      <c r="C6" s="1">
        <v>10</v>
      </c>
      <c r="D6" s="1">
        <v>45</v>
      </c>
    </row>
    <row r="7" spans="1:4">
      <c r="A7" t="s">
        <v>7</v>
      </c>
      <c r="B7" s="1">
        <v>200</v>
      </c>
      <c r="C7" s="1">
        <v>10</v>
      </c>
      <c r="D7" s="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855-BBB5-4219-BB51-343CE96B9B49}">
  <dimension ref="A1:D7"/>
  <sheetViews>
    <sheetView zoomScale="145" zoomScaleNormal="145" workbookViewId="0">
      <selection activeCell="D12" sqref="D12"/>
    </sheetView>
  </sheetViews>
  <sheetFormatPr defaultRowHeight="15"/>
  <cols>
    <col min="2" max="2" width="9.28515625" bestFit="1" customWidth="1"/>
    <col min="3" max="3" width="9.85546875" bestFit="1" customWidth="1"/>
    <col min="4" max="4" width="9.28515625" bestFit="1" customWidth="1"/>
  </cols>
  <sheetData>
    <row r="1" spans="1:4">
      <c r="B1" t="s">
        <v>17</v>
      </c>
      <c r="C1" t="s">
        <v>16</v>
      </c>
      <c r="D1" t="s">
        <v>18</v>
      </c>
    </row>
    <row r="2" spans="1:4">
      <c r="B2" t="s">
        <v>33</v>
      </c>
      <c r="C2" t="s">
        <v>33</v>
      </c>
      <c r="D2" t="s">
        <v>33</v>
      </c>
    </row>
    <row r="3" spans="1:4">
      <c r="A3" t="s">
        <v>3</v>
      </c>
      <c r="B3" s="1">
        <v>3000</v>
      </c>
      <c r="C3" s="1">
        <v>21600</v>
      </c>
      <c r="D3" s="1">
        <v>5400</v>
      </c>
    </row>
    <row r="4" spans="1:4">
      <c r="A4" t="s">
        <v>4</v>
      </c>
      <c r="B4" s="1">
        <v>300</v>
      </c>
      <c r="C4" s="1">
        <v>1000</v>
      </c>
      <c r="D4" s="1">
        <v>7000</v>
      </c>
    </row>
    <row r="5" spans="1:4">
      <c r="A5" t="s">
        <v>5</v>
      </c>
      <c r="B5" s="1">
        <v>0</v>
      </c>
      <c r="C5" s="1">
        <v>5000</v>
      </c>
      <c r="D5" s="1">
        <v>10000</v>
      </c>
    </row>
    <row r="6" spans="1:4">
      <c r="A6" t="s">
        <v>6</v>
      </c>
      <c r="B6" s="1">
        <v>0</v>
      </c>
      <c r="C6" s="1">
        <v>0</v>
      </c>
      <c r="D6" s="1">
        <v>2000</v>
      </c>
    </row>
    <row r="7" spans="1:4">
      <c r="A7" t="s">
        <v>7</v>
      </c>
      <c r="B7" s="1">
        <v>5000</v>
      </c>
      <c r="C7" s="1">
        <v>100000</v>
      </c>
      <c r="D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Item characteristics</vt:lpstr>
      <vt:lpstr>Distance</vt:lpstr>
      <vt:lpstr>Purchase prices</vt:lpstr>
      <vt:lpstr>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Carecci</dc:creator>
  <cp:lastModifiedBy>Davide Carecci</cp:lastModifiedBy>
  <dcterms:created xsi:type="dcterms:W3CDTF">2024-03-11T18:24:42Z</dcterms:created>
  <dcterms:modified xsi:type="dcterms:W3CDTF">2024-03-21T13:45:36Z</dcterms:modified>
</cp:coreProperties>
</file>