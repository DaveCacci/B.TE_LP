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Robust Optimization/Project/"/>
    </mc:Choice>
  </mc:AlternateContent>
  <xr:revisionPtr revIDLastSave="323" documentId="13_ncr:1_{3569C1BF-E599-4CC3-958C-CF2B068FF8B8}" xr6:coauthVersionLast="47" xr6:coauthVersionMax="47" xr10:uidLastSave="{808C090E-6786-43A3-A2D5-67C545127A7F}"/>
  <bookViews>
    <workbookView xWindow="-23148" yWindow="-108" windowWidth="23256" windowHeight="12456" xr2:uid="{66A798E0-9E9A-4626-9FF9-44F67D5440CA}"/>
  </bookViews>
  <sheets>
    <sheet name="Item characteristics" sheetId="1" r:id="rId1"/>
    <sheet name="Ct" sheetId="2" r:id="rId2"/>
    <sheet name="Availability" sheetId="4" r:id="rId3"/>
    <sheet name="Purchase cost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11" i="1"/>
  <c r="L3" i="1"/>
  <c r="K10" i="1" l="1"/>
  <c r="K7" i="1"/>
  <c r="K3" i="1" l="1"/>
  <c r="K9" i="1"/>
  <c r="K11" i="1"/>
  <c r="K12" i="1"/>
  <c r="K5" i="1"/>
  <c r="K4" i="1"/>
  <c r="K8" i="1"/>
  <c r="K6" i="1" l="1"/>
  <c r="Q4" i="1"/>
  <c r="Q5" i="1"/>
  <c r="Q6" i="1"/>
  <c r="Q7" i="1"/>
  <c r="Q8" i="1"/>
  <c r="Q9" i="1"/>
  <c r="Q10" i="1"/>
  <c r="Q11" i="1"/>
  <c r="Q12" i="1"/>
  <c r="Q3" i="1"/>
  <c r="AC12" i="1" l="1"/>
  <c r="AB12" i="1"/>
  <c r="AA12" i="1"/>
  <c r="Z12" i="1"/>
  <c r="Y12" i="1"/>
  <c r="X12" i="1"/>
  <c r="AC11" i="1"/>
  <c r="AB11" i="1"/>
  <c r="AA11" i="1"/>
  <c r="Z11" i="1"/>
  <c r="Y11" i="1"/>
  <c r="X11" i="1"/>
  <c r="AC10" i="1"/>
  <c r="AB10" i="1"/>
  <c r="AA10" i="1"/>
  <c r="Z10" i="1"/>
  <c r="Y10" i="1"/>
  <c r="X10" i="1"/>
  <c r="AC9" i="1"/>
  <c r="AB9" i="1"/>
  <c r="AA9" i="1"/>
  <c r="Z9" i="1"/>
  <c r="Y9" i="1"/>
  <c r="X9" i="1"/>
  <c r="AC8" i="1"/>
  <c r="AB8" i="1"/>
  <c r="AA8" i="1"/>
  <c r="Z8" i="1"/>
  <c r="Y8" i="1"/>
  <c r="X8" i="1"/>
  <c r="AC7" i="1"/>
  <c r="AB7" i="1"/>
  <c r="AA7" i="1"/>
  <c r="Z7" i="1"/>
  <c r="Y7" i="1"/>
  <c r="X7" i="1"/>
  <c r="AC6" i="1"/>
  <c r="AB6" i="1"/>
  <c r="AA6" i="1"/>
  <c r="Z6" i="1"/>
  <c r="Y6" i="1"/>
  <c r="X6" i="1"/>
  <c r="AC5" i="1"/>
  <c r="AB5" i="1"/>
  <c r="AA5" i="1"/>
  <c r="Z5" i="1"/>
  <c r="Y5" i="1"/>
  <c r="X5" i="1"/>
  <c r="AC4" i="1"/>
  <c r="AB4" i="1"/>
  <c r="AA4" i="1"/>
  <c r="Z4" i="1"/>
  <c r="Y4" i="1"/>
  <c r="X4" i="1"/>
  <c r="AC3" i="1"/>
  <c r="AB3" i="1"/>
  <c r="AA3" i="1"/>
  <c r="Z3" i="1"/>
  <c r="Y3" i="1"/>
  <c r="X3" i="1"/>
  <c r="C6" i="4"/>
  <c r="D6" i="4"/>
  <c r="E6" i="4"/>
  <c r="F6" i="4"/>
  <c r="G6" i="4"/>
  <c r="H6" i="4"/>
  <c r="I6" i="4"/>
  <c r="K6" i="4"/>
  <c r="C7" i="4"/>
  <c r="D7" i="4"/>
  <c r="E7" i="4"/>
  <c r="F7" i="4"/>
  <c r="G7" i="4"/>
  <c r="H7" i="4"/>
  <c r="I7" i="4"/>
  <c r="K7" i="4"/>
  <c r="B7" i="4"/>
  <c r="B6" i="4"/>
  <c r="J5" i="4"/>
  <c r="J4" i="4"/>
  <c r="J3" i="4"/>
  <c r="J6" i="4" l="1"/>
  <c r="J7" i="4"/>
  <c r="G6" i="1" l="1"/>
  <c r="G7" i="1"/>
</calcChain>
</file>

<file path=xl/sharedStrings.xml><?xml version="1.0" encoding="utf-8"?>
<sst xmlns="http://schemas.openxmlformats.org/spreadsheetml/2006/main" count="186" uniqueCount="85">
  <si>
    <t>a</t>
  </si>
  <si>
    <t>b</t>
  </si>
  <si>
    <t>c</t>
  </si>
  <si>
    <t>d</t>
  </si>
  <si>
    <t>e</t>
  </si>
  <si>
    <t>f</t>
  </si>
  <si>
    <t>g</t>
  </si>
  <si>
    <t>h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</si>
  <si>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</si>
  <si>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</si>
  <si>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</si>
  <si>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</si>
  <si>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</si>
  <si>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</si>
  <si>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</si>
  <si>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</si>
  <si>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</si>
  <si>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</si>
  <si>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</si>
  <si>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</si>
  <si>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Barley silage</t>
  </si>
  <si>
    <t>Chicken dung</t>
  </si>
  <si>
    <t>Cow dung</t>
  </si>
  <si>
    <t>Cow slurry</t>
  </si>
  <si>
    <t>Maize silage</t>
  </si>
  <si>
    <t>Pig slurry</t>
  </si>
  <si>
    <t>Sorghum silage</t>
  </si>
  <si>
    <t>Tomato peels</t>
  </si>
  <si>
    <t>Triticale silage</t>
  </si>
  <si>
    <t>Wheat byproducts</t>
  </si>
  <si>
    <t>rho</t>
  </si>
  <si>
    <t>TS</t>
  </si>
  <si>
    <t>VS</t>
  </si>
  <si>
    <t>BMPinf</t>
  </si>
  <si>
    <t>Fixed_tariff</t>
  </si>
  <si>
    <t>TKN</t>
  </si>
  <si>
    <t>C/N</t>
  </si>
  <si>
    <t>TAN</t>
  </si>
  <si>
    <t>TAC</t>
  </si>
  <si>
    <t>LI</t>
  </si>
  <si>
    <t>TVFA</t>
  </si>
  <si>
    <t>COD/VS</t>
  </si>
  <si>
    <t>k_hyd_r</t>
  </si>
  <si>
    <t>k_hyd_s</t>
  </si>
  <si>
    <t>BMPinf_r</t>
  </si>
  <si>
    <t>BMPinf_s</t>
  </si>
  <si>
    <t>TS Max</t>
  </si>
  <si>
    <t>TS Min</t>
  </si>
  <si>
    <t>VS Max</t>
  </si>
  <si>
    <t>VS Min</t>
  </si>
  <si>
    <t>BMPinf Max</t>
  </si>
  <si>
    <t>BMPinf Min</t>
  </si>
  <si>
    <t>TS Max/Mean</t>
  </si>
  <si>
    <t>TS Min/Mean</t>
  </si>
  <si>
    <t>VS Max/Mean</t>
  </si>
  <si>
    <t>VS Min/Mean</t>
  </si>
  <si>
    <t>BMP Max/Mean</t>
  </si>
  <si>
    <t>BMP Min/Mean</t>
  </si>
  <si>
    <t>kgFM/m3FM</t>
  </si>
  <si>
    <t>kgTS/tonFM</t>
  </si>
  <si>
    <t>kgVS/tonFM</t>
  </si>
  <si>
    <t>Nm3CH4/tonVS</t>
  </si>
  <si>
    <t>€/20tonFM</t>
  </si>
  <si>
    <t>kgN/tonFM</t>
  </si>
  <si>
    <t>molC/molN</t>
  </si>
  <si>
    <t>kgCaCO3/tonFM</t>
  </si>
  <si>
    <t>kgLI/kgFM</t>
  </si>
  <si>
    <t>kgHAc/kgFM</t>
  </si>
  <si>
    <t>kgCOD/kgVS</t>
  </si>
  <si>
    <t>d-1</t>
  </si>
  <si>
    <t>P</t>
  </si>
  <si>
    <t>S</t>
  </si>
  <si>
    <t>P2</t>
  </si>
  <si>
    <t>B</t>
  </si>
  <si>
    <t>Leg. Cluster</t>
  </si>
  <si>
    <t>km</t>
  </si>
  <si>
    <t>€/tonFM</t>
  </si>
  <si>
    <t>tonFM</t>
  </si>
  <si>
    <t>Mean</t>
  </si>
  <si>
    <t>Max</t>
  </si>
  <si>
    <t>Min</t>
  </si>
  <si>
    <t>Max/Mean</t>
  </si>
  <si>
    <t>Min/Mean</t>
  </si>
  <si>
    <t>Feedstock Name</t>
  </si>
  <si>
    <t>Supplier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</si>
</sst>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0" fillId="0" borderId="0" xfId="0" applyAlignment="1">
      <alignment horizontal="left"/>
    </xf>
    <xf numFmtId="1" fontId="0" fillId="0" borderId="0" xfId="0" applyNumberFormat="1"/>
    <xf numFmtId="2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1" fontId="0" fillId="0" borderId="0" xfId="0" applyNumberFormat="1" applyAlignment="1">
      <alignment horizontal="right"/>
    </xf>
    <xf numFmtId="9" fontId="0" fillId="0" borderId="0" xfId="1" applyFont="1"/>
    <xf numFmtId="2" fontId="0" fillId="0" borderId="0" xfId="0" applyNumberForma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CA70-3B8D-4DF4-BACF-B592D887B522}">
  <dimension ref="A1:AD36"/>
  <sheetViews>
    <sheetView tabSelected="1" zoomScale="115" zoomScaleNormal="115" workbookViewId="0">
      <pane xSplit="1" ySplit="2" topLeftCell="R12" activePane="bottomRight" state="frozen"/>
      <selection pane="topRight" activeCell="B1" sqref="B1"/>
      <selection pane="bottomLeft" activeCell="A3" sqref="A3"/>
      <selection pane="bottomRight" activeCell="AC26" sqref="AC26"/>
    </sheetView>
  </sheetViews>
  <sheetFormatPr defaultRowHeight="15" x14ac:dyDescent="0.25"/>
  <cols>
    <col min="1" max="1" width="17" bestFit="1" customWidth="1"/>
    <col min="2" max="2" width="13.5703125" customWidth="1"/>
    <col min="3" max="3" width="11.7109375" bestFit="1" customWidth="1"/>
    <col min="4" max="4" width="11.42578125" bestFit="1" customWidth="1"/>
    <col min="5" max="5" width="15" bestFit="1" customWidth="1"/>
    <col min="6" max="6" width="11.5703125" bestFit="1" customWidth="1"/>
    <col min="7" max="7" width="10.5703125" bestFit="1" customWidth="1"/>
    <col min="8" max="8" width="10.85546875" bestFit="1" customWidth="1"/>
    <col min="9" max="9" width="10.5703125" bestFit="1" customWidth="1"/>
    <col min="10" max="10" width="15.7109375" bestFit="1" customWidth="1"/>
    <col min="11" max="11" width="12.140625" bestFit="1" customWidth="1"/>
    <col min="12" max="12" width="9.85546875" bestFit="1" customWidth="1"/>
    <col min="13" max="13" width="11.85546875" bestFit="1" customWidth="1"/>
    <col min="20" max="20" width="12.140625" bestFit="1" customWidth="1"/>
    <col min="21" max="21" width="9.85546875" bestFit="1" customWidth="1"/>
    <col min="22" max="23" width="14.5703125" bestFit="1" customWidth="1"/>
    <col min="24" max="24" width="12.7109375" bestFit="1" customWidth="1"/>
    <col min="25" max="25" width="12.42578125" bestFit="1" customWidth="1"/>
    <col min="26" max="26" width="12.85546875" bestFit="1" customWidth="1"/>
    <col min="27" max="27" width="12.5703125" bestFit="1" customWidth="1"/>
    <col min="28" max="28" width="14.5703125" bestFit="1" customWidth="1"/>
    <col min="29" max="29" width="14.28515625" bestFit="1" customWidth="1"/>
  </cols>
  <sheetData>
    <row r="1" spans="1:30" x14ac:dyDescent="0.25">
      <c r="A1" s="13" t="s">
        <v>83</v>
      </c>
      <c r="B1" s="13" t="s">
        <v>30</v>
      </c>
      <c r="C1" s="13" t="s">
        <v>31</v>
      </c>
      <c r="D1" s="13" t="s">
        <v>32</v>
      </c>
      <c r="E1" s="13" t="s">
        <v>33</v>
      </c>
      <c r="F1" s="13" t="s">
        <v>34</v>
      </c>
      <c r="G1" s="13" t="s">
        <v>35</v>
      </c>
      <c r="H1" s="13" t="s">
        <v>36</v>
      </c>
      <c r="I1" s="13" t="s">
        <v>37</v>
      </c>
      <c r="J1" s="13" t="s">
        <v>38</v>
      </c>
      <c r="K1" s="13" t="s">
        <v>39</v>
      </c>
      <c r="L1" s="13" t="s">
        <v>40</v>
      </c>
      <c r="M1" s="13" t="s">
        <v>41</v>
      </c>
      <c r="N1" s="13" t="s">
        <v>42</v>
      </c>
      <c r="O1" s="13" t="s">
        <v>43</v>
      </c>
      <c r="P1" s="13" t="s">
        <v>44</v>
      </c>
      <c r="Q1" s="13" t="s">
        <v>45</v>
      </c>
      <c r="R1" s="13" t="s">
        <v>46</v>
      </c>
      <c r="S1" s="13" t="s">
        <v>47</v>
      </c>
      <c r="T1" s="13" t="s">
        <v>48</v>
      </c>
      <c r="U1" s="13" t="s">
        <v>49</v>
      </c>
      <c r="V1" s="13" t="s">
        <v>50</v>
      </c>
      <c r="W1" s="13" t="s">
        <v>51</v>
      </c>
      <c r="X1" s="13" t="s">
        <v>52</v>
      </c>
      <c r="Y1" s="13" t="s">
        <v>53</v>
      </c>
      <c r="Z1" s="13" t="s">
        <v>54</v>
      </c>
      <c r="AA1" s="13" t="s">
        <v>55</v>
      </c>
      <c r="AB1" s="13" t="s">
        <v>56</v>
      </c>
      <c r="AC1" s="13" t="s">
        <v>57</v>
      </c>
      <c r="AD1" s="13" t="s">
        <v>74</v>
      </c>
    </row>
    <row r="2" spans="1:30" x14ac:dyDescent="0.25">
      <c r="A2" s="14"/>
      <c r="B2" s="14" t="s">
        <v>58</v>
      </c>
      <c r="C2" s="14" t="s">
        <v>59</v>
      </c>
      <c r="D2" s="14" t="s">
        <v>60</v>
      </c>
      <c r="E2" s="14" t="s">
        <v>61</v>
      </c>
      <c r="F2" s="14" t="s">
        <v>62</v>
      </c>
      <c r="G2" s="14" t="s">
        <v>63</v>
      </c>
      <c r="H2" s="14" t="s">
        <v>64</v>
      </c>
      <c r="I2" s="14" t="s">
        <v>63</v>
      </c>
      <c r="J2" s="14" t="s">
        <v>65</v>
      </c>
      <c r="K2" s="14" t="s">
        <v>66</v>
      </c>
      <c r="L2" s="14" t="s">
        <v>67</v>
      </c>
      <c r="M2" s="14" t="s">
        <v>68</v>
      </c>
      <c r="N2" s="14" t="s">
        <v>69</v>
      </c>
      <c r="O2" s="14" t="s">
        <v>69</v>
      </c>
      <c r="P2" s="14" t="s">
        <v>61</v>
      </c>
      <c r="Q2" s="14" t="s">
        <v>61</v>
      </c>
      <c r="R2" s="14" t="s">
        <v>59</v>
      </c>
      <c r="S2" s="14" t="s">
        <v>59</v>
      </c>
      <c r="T2" s="14" t="s">
        <v>60</v>
      </c>
      <c r="U2" s="14" t="s">
        <v>60</v>
      </c>
      <c r="V2" s="14" t="s">
        <v>61</v>
      </c>
      <c r="W2" s="14" t="s">
        <v>61</v>
      </c>
      <c r="X2" s="14"/>
      <c r="Y2" s="14"/>
      <c r="Z2" s="14"/>
      <c r="AA2" s="14"/>
      <c r="AB2" s="14"/>
      <c r="AC2" s="14"/>
      <c r="AD2" s="14"/>
    </row>
    <row r="3" spans="1:30" x14ac:dyDescent="0.25">
      <c r="A3" s="13" t="s">
        <v>20</v>
      </c>
      <c r="B3" s="16">
        <v>0.8</v>
      </c>
      <c r="C3" s="17">
        <v>280</v>
      </c>
      <c r="D3" s="17">
        <v>262.37333333333328</v>
      </c>
      <c r="E3" s="17">
        <v>308.79633333333328</v>
      </c>
      <c r="F3" s="14">
        <v>50</v>
      </c>
      <c r="G3" s="14">
        <v>14</v>
      </c>
      <c r="H3" s="18">
        <v>48.8</v>
      </c>
      <c r="I3" s="19">
        <v>0.5</v>
      </c>
      <c r="J3" s="16">
        <v>0</v>
      </c>
      <c r="K3" s="16">
        <f>0.03*C3</f>
        <v>8.4</v>
      </c>
      <c r="L3" s="16">
        <f>0.02*C3</f>
        <v>5.6000000000000005</v>
      </c>
      <c r="M3" s="19">
        <v>1.2</v>
      </c>
      <c r="N3" s="19">
        <v>0.8</v>
      </c>
      <c r="O3" s="14">
        <v>0.15</v>
      </c>
      <c r="P3" s="16">
        <v>100</v>
      </c>
      <c r="Q3" s="17">
        <f>E3-P3</f>
        <v>208.79633333333328</v>
      </c>
      <c r="R3" s="17">
        <v>240</v>
      </c>
      <c r="S3" s="17">
        <v>320</v>
      </c>
      <c r="T3" s="17">
        <v>220.32</v>
      </c>
      <c r="U3" s="17">
        <v>300.79999999999995</v>
      </c>
      <c r="V3" s="17">
        <v>323.98899999999998</v>
      </c>
      <c r="W3" s="17">
        <v>286.2</v>
      </c>
      <c r="X3" s="15">
        <f t="shared" ref="X3:X12" si="0">R3/C3</f>
        <v>0.8571428571428571</v>
      </c>
      <c r="Y3" s="15">
        <f t="shared" ref="Y3:Y12" si="1">S3/C3</f>
        <v>1.1428571428571428</v>
      </c>
      <c r="Z3" s="15">
        <f t="shared" ref="Z3:Z12" si="2">T3/D3</f>
        <v>0.83971948368736671</v>
      </c>
      <c r="AA3" s="15">
        <f t="shared" ref="AA3:AA12" si="3">U3/D3</f>
        <v>1.1464579733712776</v>
      </c>
      <c r="AB3" s="15">
        <f t="shared" ref="AB3:AB12" si="4">V3/E3</f>
        <v>1.0491996342789045</v>
      </c>
      <c r="AC3" s="15">
        <f t="shared" ref="AC3:AC12" si="5">W3/E3</f>
        <v>0.92682447654279154</v>
      </c>
      <c r="AD3" s="14" t="s">
        <v>70</v>
      </c>
    </row>
    <row r="4" spans="1:30" x14ac:dyDescent="0.25">
      <c r="A4" s="13" t="s">
        <v>21</v>
      </c>
      <c r="B4" s="14">
        <v>1</v>
      </c>
      <c r="C4" s="17">
        <v>458.05</v>
      </c>
      <c r="D4" s="17">
        <v>335.45</v>
      </c>
      <c r="E4" s="17">
        <v>294.36180555555558</v>
      </c>
      <c r="F4" s="14">
        <v>60</v>
      </c>
      <c r="G4" s="14">
        <v>26</v>
      </c>
      <c r="H4" s="18">
        <v>9</v>
      </c>
      <c r="I4" s="16">
        <v>1.5</v>
      </c>
      <c r="J4" s="16">
        <v>3</v>
      </c>
      <c r="K4" s="19">
        <f>0.03*C4</f>
        <v>13.7415</v>
      </c>
      <c r="L4" s="16">
        <v>1</v>
      </c>
      <c r="M4" s="16">
        <v>1.5</v>
      </c>
      <c r="N4" s="16">
        <v>0.6</v>
      </c>
      <c r="O4" s="14">
        <v>0.09</v>
      </c>
      <c r="P4" s="16">
        <v>100</v>
      </c>
      <c r="Q4" s="17">
        <f t="shared" ref="Q4:Q12" si="6">E4-P4</f>
        <v>194.36180555555558</v>
      </c>
      <c r="R4" s="17">
        <v>280</v>
      </c>
      <c r="S4" s="17">
        <v>681</v>
      </c>
      <c r="T4" s="17">
        <v>210</v>
      </c>
      <c r="U4" s="17">
        <v>483</v>
      </c>
      <c r="V4" s="17">
        <v>375</v>
      </c>
      <c r="W4" s="17">
        <v>185.7</v>
      </c>
      <c r="X4" s="15">
        <f t="shared" si="0"/>
        <v>0.61128697740421345</v>
      </c>
      <c r="Y4" s="15">
        <f t="shared" si="1"/>
        <v>1.4867372557581049</v>
      </c>
      <c r="Z4" s="15">
        <f t="shared" si="2"/>
        <v>0.62602474288269494</v>
      </c>
      <c r="AA4" s="15">
        <f t="shared" si="3"/>
        <v>1.4398569086301982</v>
      </c>
      <c r="AB4" s="15">
        <f t="shared" si="4"/>
        <v>1.27394245082936</v>
      </c>
      <c r="AC4" s="15">
        <f t="shared" si="5"/>
        <v>0.63085630165069906</v>
      </c>
      <c r="AD4" s="14" t="s">
        <v>71</v>
      </c>
    </row>
    <row r="5" spans="1:30" x14ac:dyDescent="0.25">
      <c r="A5" s="13" t="s">
        <v>22</v>
      </c>
      <c r="B5" s="16">
        <v>1</v>
      </c>
      <c r="C5" s="17">
        <v>242.5</v>
      </c>
      <c r="D5" s="17">
        <v>192.9</v>
      </c>
      <c r="E5" s="17">
        <v>182.1875</v>
      </c>
      <c r="F5" s="14">
        <v>50</v>
      </c>
      <c r="G5" s="14">
        <v>4</v>
      </c>
      <c r="H5" s="18">
        <v>24</v>
      </c>
      <c r="I5" s="16">
        <v>0.5</v>
      </c>
      <c r="J5" s="16">
        <v>3</v>
      </c>
      <c r="K5" s="16">
        <f>0.03*C5</f>
        <v>7.2749999999999995</v>
      </c>
      <c r="L5" s="16">
        <v>1</v>
      </c>
      <c r="M5" s="16">
        <v>1.35</v>
      </c>
      <c r="N5" s="16">
        <v>0.6</v>
      </c>
      <c r="O5" s="14">
        <v>0.09</v>
      </c>
      <c r="P5" s="16">
        <v>50</v>
      </c>
      <c r="Q5" s="17">
        <f t="shared" si="6"/>
        <v>132.1875</v>
      </c>
      <c r="R5" s="17">
        <v>220</v>
      </c>
      <c r="S5" s="17">
        <v>250</v>
      </c>
      <c r="T5" s="17">
        <v>171.6</v>
      </c>
      <c r="U5" s="17">
        <v>200</v>
      </c>
      <c r="V5" s="17">
        <v>209.00000000000003</v>
      </c>
      <c r="W5" s="17">
        <v>165</v>
      </c>
      <c r="X5" s="15">
        <f t="shared" si="0"/>
        <v>0.90721649484536082</v>
      </c>
      <c r="Y5" s="15">
        <f t="shared" si="1"/>
        <v>1.0309278350515463</v>
      </c>
      <c r="Z5" s="15">
        <f t="shared" si="2"/>
        <v>0.88958009331259713</v>
      </c>
      <c r="AA5" s="15">
        <f t="shared" si="3"/>
        <v>1.0368066355624677</v>
      </c>
      <c r="AB5" s="15">
        <f t="shared" si="4"/>
        <v>1.1471698113207549</v>
      </c>
      <c r="AC5" s="15">
        <f t="shared" si="5"/>
        <v>0.90566037735849059</v>
      </c>
      <c r="AD5" s="14" t="s">
        <v>71</v>
      </c>
    </row>
    <row r="6" spans="1:30" x14ac:dyDescent="0.25">
      <c r="A6" s="13" t="s">
        <v>23</v>
      </c>
      <c r="B6" s="15">
        <v>1</v>
      </c>
      <c r="C6" s="17">
        <v>71.841000000000008</v>
      </c>
      <c r="D6" s="17">
        <v>59.841999999999999</v>
      </c>
      <c r="E6" s="17">
        <v>231.35999999999999</v>
      </c>
      <c r="F6" s="17">
        <v>60</v>
      </c>
      <c r="G6" s="15">
        <f>1.6+I6</f>
        <v>3.1</v>
      </c>
      <c r="H6" s="20">
        <v>18.8</v>
      </c>
      <c r="I6" s="15">
        <v>1.5</v>
      </c>
      <c r="J6" s="15">
        <v>10</v>
      </c>
      <c r="K6" s="15">
        <f>0.05*C6</f>
        <v>3.5920500000000004</v>
      </c>
      <c r="L6" s="15">
        <v>5</v>
      </c>
      <c r="M6" s="15">
        <v>1.4</v>
      </c>
      <c r="N6" s="15">
        <v>0.5</v>
      </c>
      <c r="O6" s="14">
        <v>0.06</v>
      </c>
      <c r="P6" s="19">
        <v>50</v>
      </c>
      <c r="Q6" s="17">
        <f t="shared" si="6"/>
        <v>181.35999999999999</v>
      </c>
      <c r="R6" s="17">
        <v>13.11</v>
      </c>
      <c r="S6" s="17">
        <v>145.30000000000001</v>
      </c>
      <c r="T6" s="17">
        <v>5.62</v>
      </c>
      <c r="U6" s="17">
        <v>124.1</v>
      </c>
      <c r="V6" s="17">
        <v>320</v>
      </c>
      <c r="W6" s="17">
        <v>181.5</v>
      </c>
      <c r="X6" s="15">
        <f t="shared" si="0"/>
        <v>0.18248632396542361</v>
      </c>
      <c r="Y6" s="15">
        <f t="shared" si="1"/>
        <v>2.0225219582132765</v>
      </c>
      <c r="Z6" s="15">
        <f t="shared" si="2"/>
        <v>9.3913973463453759E-2</v>
      </c>
      <c r="AA6" s="15">
        <f t="shared" si="3"/>
        <v>2.0737943250559807</v>
      </c>
      <c r="AB6" s="15">
        <f t="shared" si="4"/>
        <v>1.3831258644536655</v>
      </c>
      <c r="AC6" s="15">
        <f t="shared" si="5"/>
        <v>0.78449170124481338</v>
      </c>
      <c r="AD6" s="14" t="s">
        <v>71</v>
      </c>
    </row>
    <row r="7" spans="1:30" x14ac:dyDescent="0.25">
      <c r="A7" s="13" t="s">
        <v>24</v>
      </c>
      <c r="B7" s="19">
        <v>0.8</v>
      </c>
      <c r="C7" s="17">
        <v>325.25454545454545</v>
      </c>
      <c r="D7" s="17">
        <v>307.98363636363638</v>
      </c>
      <c r="E7" s="17">
        <v>343.74585454545456</v>
      </c>
      <c r="F7" s="17">
        <v>50</v>
      </c>
      <c r="G7" s="15">
        <f>3.19+I7</f>
        <v>3.69</v>
      </c>
      <c r="H7" s="20">
        <v>48.8</v>
      </c>
      <c r="I7" s="15">
        <v>0.5</v>
      </c>
      <c r="J7" s="15">
        <v>0</v>
      </c>
      <c r="K7" s="15">
        <f>0.03*C7</f>
        <v>9.7576363636363634</v>
      </c>
      <c r="L7" s="15">
        <v>10</v>
      </c>
      <c r="M7" s="15">
        <v>1.2</v>
      </c>
      <c r="N7" s="15">
        <v>0.8</v>
      </c>
      <c r="O7" s="14">
        <v>0.15</v>
      </c>
      <c r="P7" s="19">
        <v>200</v>
      </c>
      <c r="Q7" s="17">
        <f t="shared" si="6"/>
        <v>143.74585454545456</v>
      </c>
      <c r="R7" s="17">
        <v>220</v>
      </c>
      <c r="S7" s="17">
        <v>371.6</v>
      </c>
      <c r="T7" s="17">
        <v>208.11999999999998</v>
      </c>
      <c r="U7" s="17">
        <v>366.2</v>
      </c>
      <c r="V7" s="17">
        <v>400</v>
      </c>
      <c r="W7" s="17">
        <v>295.06440000000003</v>
      </c>
      <c r="X7" s="15">
        <f t="shared" si="0"/>
        <v>0.67639331432724026</v>
      </c>
      <c r="Y7" s="15">
        <f t="shared" si="1"/>
        <v>1.1424897982000113</v>
      </c>
      <c r="Z7" s="15">
        <f t="shared" si="2"/>
        <v>0.67575018743616833</v>
      </c>
      <c r="AA7" s="15">
        <f t="shared" si="3"/>
        <v>1.1890242102591047</v>
      </c>
      <c r="AB7" s="15">
        <f t="shared" si="4"/>
        <v>1.1636503966831309</v>
      </c>
      <c r="AC7" s="15">
        <f t="shared" si="5"/>
        <v>0.85837951526767509</v>
      </c>
      <c r="AD7" s="14" t="s">
        <v>72</v>
      </c>
    </row>
    <row r="8" spans="1:30" x14ac:dyDescent="0.25">
      <c r="A8" s="13" t="s">
        <v>25</v>
      </c>
      <c r="B8" s="14">
        <v>1</v>
      </c>
      <c r="C8" s="17">
        <v>51.279999999999994</v>
      </c>
      <c r="D8" s="17">
        <v>39.56</v>
      </c>
      <c r="E8" s="17">
        <v>202.32</v>
      </c>
      <c r="F8" s="14">
        <v>60</v>
      </c>
      <c r="G8" s="14">
        <v>3</v>
      </c>
      <c r="H8" s="18">
        <v>11</v>
      </c>
      <c r="I8" s="16">
        <v>2.2400000000000002</v>
      </c>
      <c r="J8" s="16">
        <v>15</v>
      </c>
      <c r="K8" s="16">
        <f>0.076*C8</f>
        <v>3.8972799999999994</v>
      </c>
      <c r="L8" s="16">
        <v>4</v>
      </c>
      <c r="M8" s="19">
        <v>1.4</v>
      </c>
      <c r="N8" s="19">
        <v>0.5</v>
      </c>
      <c r="O8" s="14">
        <v>0.06</v>
      </c>
      <c r="P8" s="16">
        <v>70</v>
      </c>
      <c r="Q8" s="17">
        <f t="shared" si="6"/>
        <v>132.32</v>
      </c>
      <c r="R8" s="17">
        <v>35</v>
      </c>
      <c r="S8" s="17">
        <v>68.2</v>
      </c>
      <c r="T8" s="17">
        <v>28</v>
      </c>
      <c r="U8" s="17">
        <v>48.9</v>
      </c>
      <c r="V8" s="17">
        <v>252.3</v>
      </c>
      <c r="W8" s="17">
        <v>125</v>
      </c>
      <c r="X8" s="15">
        <f t="shared" si="0"/>
        <v>0.68252730109204374</v>
      </c>
      <c r="Y8" s="15">
        <f t="shared" si="1"/>
        <v>1.3299531981279253</v>
      </c>
      <c r="Z8" s="15">
        <f t="shared" si="2"/>
        <v>0.70778564206268957</v>
      </c>
      <c r="AA8" s="15">
        <f t="shared" si="3"/>
        <v>1.236097067745197</v>
      </c>
      <c r="AB8" s="15">
        <f t="shared" si="4"/>
        <v>1.2470344009489918</v>
      </c>
      <c r="AC8" s="15">
        <f t="shared" si="5"/>
        <v>0.61783313562672992</v>
      </c>
      <c r="AD8" s="14" t="s">
        <v>71</v>
      </c>
    </row>
    <row r="9" spans="1:30" x14ac:dyDescent="0.25">
      <c r="A9" s="13" t="s">
        <v>26</v>
      </c>
      <c r="B9" s="16">
        <v>0.8</v>
      </c>
      <c r="C9" s="17">
        <v>258.51249999999999</v>
      </c>
      <c r="D9" s="17">
        <v>238.70000000000002</v>
      </c>
      <c r="E9" s="17">
        <v>280.4325</v>
      </c>
      <c r="F9" s="14">
        <v>50</v>
      </c>
      <c r="G9" s="14">
        <v>4</v>
      </c>
      <c r="H9" s="18">
        <v>48.8</v>
      </c>
      <c r="I9" s="16">
        <v>0.5</v>
      </c>
      <c r="J9" s="16">
        <v>0</v>
      </c>
      <c r="K9" s="16">
        <f>0.03*C9</f>
        <v>7.755374999999999</v>
      </c>
      <c r="L9" s="16">
        <f>0.02*C3</f>
        <v>5.6000000000000005</v>
      </c>
      <c r="M9" s="19">
        <v>1.2</v>
      </c>
      <c r="N9" s="19">
        <v>0.8</v>
      </c>
      <c r="O9" s="14">
        <v>0.15</v>
      </c>
      <c r="P9" s="16">
        <v>120</v>
      </c>
      <c r="Q9" s="17">
        <f t="shared" si="6"/>
        <v>160.4325</v>
      </c>
      <c r="R9" s="17">
        <v>182.9</v>
      </c>
      <c r="S9" s="17">
        <v>320</v>
      </c>
      <c r="T9" s="17">
        <v>169.3</v>
      </c>
      <c r="U9" s="17">
        <v>300.79999999999995</v>
      </c>
      <c r="V9" s="17">
        <v>372.96000000000004</v>
      </c>
      <c r="W9" s="17">
        <v>152</v>
      </c>
      <c r="X9" s="15">
        <f t="shared" si="0"/>
        <v>0.70750930806053869</v>
      </c>
      <c r="Y9" s="15">
        <f t="shared" si="1"/>
        <v>1.237851167738504</v>
      </c>
      <c r="Z9" s="15">
        <f t="shared" si="2"/>
        <v>0.7092584834520318</v>
      </c>
      <c r="AA9" s="15">
        <f t="shared" si="3"/>
        <v>1.2601591956430662</v>
      </c>
      <c r="AB9" s="15">
        <f t="shared" si="4"/>
        <v>1.329945708860421</v>
      </c>
      <c r="AC9" s="15">
        <f t="shared" si="5"/>
        <v>0.54201991566598018</v>
      </c>
      <c r="AD9" s="14" t="s">
        <v>70</v>
      </c>
    </row>
    <row r="10" spans="1:30" x14ac:dyDescent="0.25">
      <c r="A10" s="13" t="s">
        <v>27</v>
      </c>
      <c r="B10" s="16">
        <v>0.7</v>
      </c>
      <c r="C10" s="17">
        <v>281.25</v>
      </c>
      <c r="D10" s="17">
        <v>272.25</v>
      </c>
      <c r="E10" s="17">
        <v>191.375</v>
      </c>
      <c r="F10" s="14">
        <v>50</v>
      </c>
      <c r="G10" s="14">
        <v>8</v>
      </c>
      <c r="H10" s="18">
        <v>20</v>
      </c>
      <c r="I10" s="16">
        <v>0.3</v>
      </c>
      <c r="J10" s="16">
        <v>0</v>
      </c>
      <c r="K10" s="16">
        <f>0.01*C10</f>
        <v>2.8125</v>
      </c>
      <c r="L10" s="16">
        <v>1</v>
      </c>
      <c r="M10" s="19">
        <v>1.35</v>
      </c>
      <c r="N10" s="16">
        <v>0.6</v>
      </c>
      <c r="O10" s="14">
        <v>0.09</v>
      </c>
      <c r="P10" s="16">
        <v>30</v>
      </c>
      <c r="Q10" s="17">
        <f t="shared" si="6"/>
        <v>161.375</v>
      </c>
      <c r="R10" s="17">
        <v>275</v>
      </c>
      <c r="S10" s="17">
        <v>286</v>
      </c>
      <c r="T10" s="17">
        <v>266.2</v>
      </c>
      <c r="U10" s="17">
        <v>276.84800000000001</v>
      </c>
      <c r="V10" s="17">
        <v>223</v>
      </c>
      <c r="W10" s="17">
        <v>170</v>
      </c>
      <c r="X10" s="15">
        <f t="shared" si="0"/>
        <v>0.97777777777777775</v>
      </c>
      <c r="Y10" s="15">
        <f t="shared" si="1"/>
        <v>1.016888888888889</v>
      </c>
      <c r="Z10" s="15">
        <f t="shared" si="2"/>
        <v>0.97777777777777775</v>
      </c>
      <c r="AA10" s="15">
        <f t="shared" si="3"/>
        <v>1.016888888888889</v>
      </c>
      <c r="AB10" s="15">
        <f t="shared" si="4"/>
        <v>1.1652514696276943</v>
      </c>
      <c r="AC10" s="15">
        <f t="shared" si="5"/>
        <v>0.8883082952318746</v>
      </c>
      <c r="AD10" s="14" t="s">
        <v>73</v>
      </c>
    </row>
    <row r="11" spans="1:30" x14ac:dyDescent="0.25">
      <c r="A11" s="13" t="s">
        <v>28</v>
      </c>
      <c r="B11" s="16">
        <v>0.8</v>
      </c>
      <c r="C11" s="17">
        <v>300</v>
      </c>
      <c r="D11" s="17">
        <v>283.45</v>
      </c>
      <c r="E11" s="17">
        <v>288.5</v>
      </c>
      <c r="F11" s="14">
        <v>50</v>
      </c>
      <c r="G11" s="14">
        <v>4</v>
      </c>
      <c r="H11" s="18">
        <v>48.8</v>
      </c>
      <c r="I11" s="16">
        <v>0.5</v>
      </c>
      <c r="J11" s="16">
        <v>0</v>
      </c>
      <c r="K11" s="16">
        <f>0.03*C11</f>
        <v>9</v>
      </c>
      <c r="L11" s="16">
        <f>0.02*C3</f>
        <v>5.6000000000000005</v>
      </c>
      <c r="M11" s="19">
        <v>1.2</v>
      </c>
      <c r="N11" s="19">
        <v>0.8</v>
      </c>
      <c r="O11" s="14">
        <v>0.15</v>
      </c>
      <c r="P11" s="16">
        <v>120</v>
      </c>
      <c r="Q11" s="17">
        <f t="shared" si="6"/>
        <v>168.5</v>
      </c>
      <c r="R11" s="17">
        <v>280</v>
      </c>
      <c r="S11" s="17">
        <v>320</v>
      </c>
      <c r="T11" s="17">
        <v>266</v>
      </c>
      <c r="U11" s="17">
        <v>300.79999999999995</v>
      </c>
      <c r="V11" s="17">
        <v>351</v>
      </c>
      <c r="W11" s="17">
        <v>238</v>
      </c>
      <c r="X11" s="15">
        <f t="shared" si="0"/>
        <v>0.93333333333333335</v>
      </c>
      <c r="Y11" s="15">
        <f t="shared" si="1"/>
        <v>1.0666666666666667</v>
      </c>
      <c r="Z11" s="15">
        <f t="shared" si="2"/>
        <v>0.93843711412947617</v>
      </c>
      <c r="AA11" s="15">
        <f t="shared" si="3"/>
        <v>1.0612100899629564</v>
      </c>
      <c r="AB11" s="15">
        <f t="shared" si="4"/>
        <v>1.2166377816291161</v>
      </c>
      <c r="AC11" s="15">
        <f t="shared" si="5"/>
        <v>0.82495667244367421</v>
      </c>
      <c r="AD11" s="14" t="s">
        <v>70</v>
      </c>
    </row>
    <row r="12" spans="1:30" x14ac:dyDescent="0.25">
      <c r="A12" s="13" t="s">
        <v>29</v>
      </c>
      <c r="B12" s="16">
        <v>0.9</v>
      </c>
      <c r="C12" s="17">
        <v>884.5</v>
      </c>
      <c r="D12" s="17">
        <v>832.97899999999993</v>
      </c>
      <c r="E12" s="17">
        <v>331.88416666666672</v>
      </c>
      <c r="F12" s="14">
        <v>50</v>
      </c>
      <c r="G12" s="14">
        <v>22</v>
      </c>
      <c r="H12" s="18">
        <v>54</v>
      </c>
      <c r="I12" s="16">
        <v>0</v>
      </c>
      <c r="J12" s="16">
        <v>0</v>
      </c>
      <c r="K12" s="16">
        <f>0.039*C12</f>
        <v>34.4955</v>
      </c>
      <c r="L12" s="16">
        <v>1</v>
      </c>
      <c r="M12" s="19">
        <v>1.2</v>
      </c>
      <c r="N12" s="16">
        <v>0.7</v>
      </c>
      <c r="O12" s="14">
        <v>0.12</v>
      </c>
      <c r="P12" s="16">
        <v>70</v>
      </c>
      <c r="Q12" s="17">
        <f t="shared" si="6"/>
        <v>261.88416666666672</v>
      </c>
      <c r="R12" s="17">
        <v>870</v>
      </c>
      <c r="S12" s="17">
        <v>900</v>
      </c>
      <c r="T12" s="17">
        <v>769.85</v>
      </c>
      <c r="U12" s="17">
        <v>873</v>
      </c>
      <c r="V12" s="17">
        <v>367.1</v>
      </c>
      <c r="W12" s="17">
        <v>304.2</v>
      </c>
      <c r="X12" s="15">
        <f t="shared" si="0"/>
        <v>0.98360655737704916</v>
      </c>
      <c r="Y12" s="15">
        <f t="shared" si="1"/>
        <v>1.0175240248728095</v>
      </c>
      <c r="Z12" s="15">
        <f t="shared" si="2"/>
        <v>0.92421297535712199</v>
      </c>
      <c r="AA12" s="15">
        <f t="shared" si="3"/>
        <v>1.0480456290014515</v>
      </c>
      <c r="AB12" s="15">
        <f t="shared" si="4"/>
        <v>1.1061088080429666</v>
      </c>
      <c r="AC12" s="15">
        <f t="shared" si="5"/>
        <v>0.91658485264688216</v>
      </c>
      <c r="AD12" s="14" t="s">
        <v>73</v>
      </c>
    </row>
    <row r="13" spans="1:30" x14ac:dyDescent="0.25">
      <c r="J13" s="6"/>
      <c r="O13" s="5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30" x14ac:dyDescent="0.25">
      <c r="F14" s="4"/>
      <c r="G14" s="4"/>
      <c r="H14" s="4"/>
      <c r="I14" s="4"/>
      <c r="J14" s="4"/>
      <c r="K14" s="4"/>
      <c r="L14" s="4"/>
      <c r="M14" s="4"/>
      <c r="N14" s="4"/>
      <c r="O14" s="6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F15" s="4"/>
      <c r="G15" s="4"/>
      <c r="H15" s="4"/>
      <c r="I15" s="4"/>
      <c r="J15" s="4"/>
      <c r="K15" s="4"/>
      <c r="L15" s="4"/>
      <c r="M15" s="4"/>
      <c r="N15" s="4"/>
      <c r="O15" s="6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0" x14ac:dyDescent="0.25">
      <c r="C16" s="3"/>
      <c r="D16" s="3"/>
      <c r="F16" s="3"/>
      <c r="G16" s="3"/>
      <c r="H16" s="3"/>
      <c r="I16" s="3"/>
      <c r="J16" s="3"/>
      <c r="K16" s="3"/>
      <c r="L16" s="3"/>
      <c r="M16" s="1"/>
      <c r="O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3:29" x14ac:dyDescent="0.25">
      <c r="F17" s="1"/>
      <c r="G17" s="1"/>
      <c r="M17" s="1"/>
      <c r="O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3:29" x14ac:dyDescent="0.25">
      <c r="F18" s="1"/>
      <c r="G18" s="1"/>
      <c r="M18" s="1"/>
      <c r="O18" s="1"/>
      <c r="Q18" s="4"/>
      <c r="AB18" s="1"/>
      <c r="AC18" s="1"/>
    </row>
    <row r="19" spans="3:29" x14ac:dyDescent="0.25">
      <c r="F19" s="1"/>
      <c r="G19" s="1"/>
      <c r="M19" s="1"/>
      <c r="O19" s="1"/>
      <c r="Q19" s="4"/>
      <c r="AB19" s="1"/>
      <c r="AC19" s="1"/>
    </row>
    <row r="20" spans="3:29" x14ac:dyDescent="0.25">
      <c r="C20" s="4"/>
      <c r="D20" s="4"/>
      <c r="F20" s="4"/>
      <c r="G20" s="4"/>
      <c r="H20" s="4"/>
      <c r="I20" s="4"/>
      <c r="J20" s="4"/>
      <c r="K20" s="4"/>
      <c r="L20" s="4"/>
      <c r="M20" s="1"/>
      <c r="O20" s="1"/>
      <c r="Q20" s="4"/>
      <c r="AB20" s="1"/>
      <c r="AC20" s="1"/>
    </row>
    <row r="21" spans="3:29" x14ac:dyDescent="0.25">
      <c r="F21" s="4"/>
      <c r="G21" s="4"/>
      <c r="M21" s="1"/>
      <c r="N21" s="1"/>
      <c r="O21" s="1"/>
      <c r="Q21" s="4"/>
      <c r="S21" s="3"/>
      <c r="AB21" s="1"/>
      <c r="AC21" s="1"/>
    </row>
    <row r="22" spans="3:29" x14ac:dyDescent="0.25">
      <c r="F22" s="1"/>
      <c r="G22" s="1"/>
      <c r="M22" s="1"/>
      <c r="N22" s="1"/>
      <c r="O22" s="1"/>
      <c r="Q22" s="4"/>
      <c r="S22" s="3"/>
      <c r="AB22" s="1"/>
      <c r="AC22" s="1"/>
    </row>
    <row r="23" spans="3:29" x14ac:dyDescent="0.25">
      <c r="F23" s="2"/>
      <c r="G23" s="2"/>
      <c r="M23" s="1"/>
      <c r="O23" s="1"/>
      <c r="Q23" s="4"/>
      <c r="S23" s="3"/>
      <c r="AB23" s="1"/>
      <c r="AC23" s="1"/>
    </row>
    <row r="24" spans="3:29" x14ac:dyDescent="0.25">
      <c r="F24" s="1"/>
      <c r="G24" s="1"/>
      <c r="M24" s="1"/>
      <c r="O24" s="1"/>
      <c r="Q24" s="4"/>
      <c r="S24" s="3"/>
      <c r="AB24" s="1"/>
      <c r="AC24" s="1"/>
    </row>
    <row r="25" spans="3:29" x14ac:dyDescent="0.25">
      <c r="F25" s="1"/>
      <c r="G25" s="1"/>
      <c r="M25" s="1"/>
      <c r="O25" s="1"/>
      <c r="Q25" s="4"/>
      <c r="S25" s="3"/>
      <c r="AC25" s="4"/>
    </row>
    <row r="26" spans="3:29" x14ac:dyDescent="0.25">
      <c r="F26" s="1"/>
      <c r="G26" s="1"/>
      <c r="M26" s="1"/>
      <c r="Q26" s="4"/>
      <c r="S26" s="3"/>
      <c r="AC26" s="4"/>
    </row>
    <row r="27" spans="3:29" x14ac:dyDescent="0.25">
      <c r="F27" s="1"/>
      <c r="G27" s="1"/>
      <c r="M27" s="1"/>
      <c r="Q27" s="4"/>
      <c r="S27" s="3"/>
      <c r="AC27" s="4"/>
    </row>
    <row r="28" spans="3:29" x14ac:dyDescent="0.25">
      <c r="F28" s="1"/>
      <c r="G28" s="1"/>
      <c r="M28" s="1"/>
      <c r="S28" s="3"/>
      <c r="AC28" s="4"/>
    </row>
    <row r="29" spans="3:29" x14ac:dyDescent="0.25">
      <c r="F29" s="1"/>
      <c r="G29" s="1"/>
      <c r="S29" s="3"/>
      <c r="AC29" s="4"/>
    </row>
    <row r="30" spans="3:29" x14ac:dyDescent="0.25">
      <c r="F30" s="1"/>
      <c r="G30" s="1"/>
      <c r="S30" s="3"/>
      <c r="AC30" s="4"/>
    </row>
    <row r="31" spans="3:29" x14ac:dyDescent="0.25">
      <c r="F31" s="1"/>
      <c r="G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3:29" x14ac:dyDescent="0.25">
      <c r="C32" s="4"/>
      <c r="D32" s="4"/>
      <c r="E32" s="4"/>
      <c r="F32" s="4"/>
      <c r="G32" s="4"/>
      <c r="H32" s="4"/>
      <c r="I32" s="4"/>
      <c r="J32" s="4"/>
      <c r="K32" s="4"/>
      <c r="L32" s="4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0:29" x14ac:dyDescent="0.25"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0:29" x14ac:dyDescent="0.25"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0:29" x14ac:dyDescent="0.25"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0:29" x14ac:dyDescent="0.25">
      <c r="T36" s="1"/>
      <c r="U36" s="1"/>
      <c r="V36" s="1"/>
      <c r="W36" s="1"/>
      <c r="X36" s="1"/>
      <c r="Y36" s="1"/>
      <c r="Z36" s="1"/>
      <c r="AA36" s="1"/>
      <c r="AB36" s="1"/>
      <c r="AC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D964-1DBF-442F-96AD-DD78914AF189}">
  <dimension ref="A1:W52"/>
  <sheetViews>
    <sheetView workbookViewId="0">
      <selection activeCell="G9" sqref="G9"/>
    </sheetView>
  </sheetViews>
  <sheetFormatPr defaultRowHeight="15" x14ac:dyDescent="0.25"/>
  <cols>
    <col min="1" max="1" width="14.5703125" bestFit="1" customWidth="1"/>
  </cols>
  <sheetData>
    <row r="1" spans="1:2" x14ac:dyDescent="0.25">
      <c r="A1" s="13" t="s">
        <v>84</v>
      </c>
      <c r="B1" s="13" t="s">
        <v>3</v>
      </c>
    </row>
    <row r="2" spans="1:2" x14ac:dyDescent="0.25">
      <c r="A2" s="14"/>
      <c r="B2" s="14" t="s">
        <v>75</v>
      </c>
    </row>
    <row r="3" spans="1:2" x14ac:dyDescent="0.25">
      <c r="A3" s="13" t="s">
        <v>0</v>
      </c>
      <c r="B3" s="15">
        <v>10</v>
      </c>
    </row>
    <row r="4" spans="1:2" x14ac:dyDescent="0.25">
      <c r="A4" s="13" t="s">
        <v>1</v>
      </c>
      <c r="B4" s="15">
        <v>30</v>
      </c>
    </row>
    <row r="5" spans="1:2" x14ac:dyDescent="0.25">
      <c r="A5" s="13" t="s">
        <v>2</v>
      </c>
      <c r="B5" s="15">
        <v>15</v>
      </c>
    </row>
    <row r="6" spans="1:2" x14ac:dyDescent="0.25">
      <c r="A6" s="13" t="s">
        <v>3</v>
      </c>
      <c r="B6" s="15">
        <v>20</v>
      </c>
    </row>
    <row r="7" spans="1:2" x14ac:dyDescent="0.25">
      <c r="A7" s="13" t="s">
        <v>4</v>
      </c>
      <c r="B7" s="15">
        <v>40</v>
      </c>
    </row>
    <row r="8" spans="1:2" x14ac:dyDescent="0.25">
      <c r="A8" s="13" t="s">
        <v>5</v>
      </c>
      <c r="B8" s="15">
        <v>2</v>
      </c>
    </row>
    <row r="9" spans="1:2" x14ac:dyDescent="0.25">
      <c r="A9" s="13" t="s">
        <v>6</v>
      </c>
      <c r="B9" s="15">
        <v>7</v>
      </c>
    </row>
    <row r="10" spans="1:2" x14ac:dyDescent="0.25">
      <c r="A10" s="13" t="s">
        <v>7</v>
      </c>
      <c r="B10" s="15">
        <v>20</v>
      </c>
    </row>
    <row r="11" spans="1:2" x14ac:dyDescent="0.25">
      <c r="A11" s="13" t="s">
        <v>8</v>
      </c>
      <c r="B11" s="15">
        <v>30</v>
      </c>
    </row>
    <row r="12" spans="1:2" x14ac:dyDescent="0.25">
      <c r="A12" s="13" t="s">
        <v>9</v>
      </c>
      <c r="B12" s="15">
        <v>40</v>
      </c>
    </row>
    <row r="13" spans="1:2" x14ac:dyDescent="0.25">
      <c r="A13" s="13" t="s">
        <v>10</v>
      </c>
      <c r="B13" s="15">
        <v>13</v>
      </c>
    </row>
    <row r="14" spans="1:2" x14ac:dyDescent="0.25">
      <c r="A14" s="13" t="s">
        <v>11</v>
      </c>
      <c r="B14" s="15">
        <v>10</v>
      </c>
    </row>
    <row r="15" spans="1:2" x14ac:dyDescent="0.25">
      <c r="A15" s="13" t="s">
        <v>12</v>
      </c>
      <c r="B15" s="15">
        <v>3</v>
      </c>
    </row>
    <row r="16" spans="1:2" x14ac:dyDescent="0.25">
      <c r="A16" s="13" t="s">
        <v>13</v>
      </c>
      <c r="B16" s="15">
        <v>6</v>
      </c>
    </row>
    <row r="17" spans="1:13" x14ac:dyDescent="0.25">
      <c r="A17" s="13" t="s">
        <v>14</v>
      </c>
      <c r="B17" s="15">
        <v>30</v>
      </c>
    </row>
    <row r="18" spans="1:13" x14ac:dyDescent="0.25">
      <c r="A18" s="13" t="s">
        <v>15</v>
      </c>
      <c r="B18" s="15">
        <v>17</v>
      </c>
    </row>
    <row r="19" spans="1:13" x14ac:dyDescent="0.25">
      <c r="A19" s="13" t="s">
        <v>16</v>
      </c>
      <c r="B19" s="15">
        <v>15</v>
      </c>
    </row>
    <row r="20" spans="1:13" x14ac:dyDescent="0.25">
      <c r="A20" s="13" t="s">
        <v>17</v>
      </c>
      <c r="B20" s="15">
        <v>10</v>
      </c>
    </row>
    <row r="21" spans="1:13" x14ac:dyDescent="0.25">
      <c r="A21" s="13" t="s">
        <v>18</v>
      </c>
      <c r="B21" s="15">
        <v>4</v>
      </c>
    </row>
    <row r="22" spans="1:13" x14ac:dyDescent="0.25">
      <c r="A22" s="13" t="s">
        <v>19</v>
      </c>
      <c r="B22" s="15">
        <v>0</v>
      </c>
    </row>
    <row r="31" spans="1:13" x14ac:dyDescent="0.25"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3:23" x14ac:dyDescent="0.25">
      <c r="W33" s="6"/>
    </row>
    <row r="34" spans="23:23" x14ac:dyDescent="0.25">
      <c r="W34" s="6"/>
    </row>
    <row r="35" spans="23:23" x14ac:dyDescent="0.25">
      <c r="W35" s="6"/>
    </row>
    <row r="36" spans="23:23" x14ac:dyDescent="0.25">
      <c r="W36" s="6"/>
    </row>
    <row r="37" spans="23:23" x14ac:dyDescent="0.25">
      <c r="W37" s="6"/>
    </row>
    <row r="38" spans="23:23" x14ac:dyDescent="0.25">
      <c r="W38" s="6"/>
    </row>
    <row r="39" spans="23:23" x14ac:dyDescent="0.25">
      <c r="W39" s="6"/>
    </row>
    <row r="40" spans="23:23" x14ac:dyDescent="0.25">
      <c r="W40" s="6"/>
    </row>
    <row r="41" spans="23:23" x14ac:dyDescent="0.25">
      <c r="W41" s="6"/>
    </row>
    <row r="42" spans="23:23" x14ac:dyDescent="0.25">
      <c r="W42" s="6"/>
    </row>
    <row r="52" spans="4:13" x14ac:dyDescent="0.25">
      <c r="D52" s="6"/>
      <c r="E52" s="6"/>
      <c r="F52" s="6"/>
      <c r="G52" s="6"/>
      <c r="H52" s="6"/>
      <c r="I52" s="6"/>
      <c r="J52" s="6"/>
      <c r="K52" s="6"/>
      <c r="L52" s="6"/>
      <c r="M5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E855-BBB5-4219-BB51-343CE96B9B49}">
  <dimension ref="A1:M49"/>
  <sheetViews>
    <sheetView zoomScale="85" zoomScaleNormal="85" workbookViewId="0">
      <selection activeCell="O14" sqref="O14"/>
    </sheetView>
  </sheetViews>
  <sheetFormatPr defaultRowHeight="15" x14ac:dyDescent="0.25"/>
  <cols>
    <col min="1" max="1" width="16.140625" bestFit="1" customWidth="1"/>
    <col min="2" max="2" width="9.28515625" bestFit="1" customWidth="1"/>
    <col min="3" max="4" width="10.140625" bestFit="1" customWidth="1"/>
    <col min="5" max="5" width="11.42578125" bestFit="1" customWidth="1"/>
    <col min="6" max="6" width="13.7109375" bestFit="1" customWidth="1"/>
    <col min="7" max="7" width="9.7109375" bestFit="1" customWidth="1"/>
  </cols>
  <sheetData>
    <row r="1" spans="1:13" x14ac:dyDescent="0.25">
      <c r="A1" s="13" t="s">
        <v>83</v>
      </c>
      <c r="B1" s="13" t="s">
        <v>20</v>
      </c>
      <c r="C1" s="13" t="s">
        <v>21</v>
      </c>
      <c r="D1" s="13" t="s">
        <v>22</v>
      </c>
      <c r="E1" s="13" t="s">
        <v>23</v>
      </c>
      <c r="F1" s="13" t="s">
        <v>24</v>
      </c>
      <c r="G1" s="13" t="s">
        <v>25</v>
      </c>
      <c r="H1" s="13" t="s">
        <v>26</v>
      </c>
      <c r="I1" s="13" t="s">
        <v>27</v>
      </c>
      <c r="J1" s="13" t="s">
        <v>28</v>
      </c>
      <c r="K1" s="13" t="s">
        <v>29</v>
      </c>
    </row>
    <row r="2" spans="1:13" x14ac:dyDescent="0.25">
      <c r="A2" s="16"/>
      <c r="B2" s="14" t="s">
        <v>77</v>
      </c>
      <c r="C2" s="14" t="s">
        <v>77</v>
      </c>
      <c r="D2" s="14" t="s">
        <v>77</v>
      </c>
      <c r="E2" s="14" t="s">
        <v>77</v>
      </c>
      <c r="F2" s="14" t="s">
        <v>77</v>
      </c>
      <c r="G2" s="14" t="s">
        <v>77</v>
      </c>
      <c r="H2" s="14" t="s">
        <v>77</v>
      </c>
      <c r="I2" s="14" t="s">
        <v>77</v>
      </c>
      <c r="J2" s="14" t="s">
        <v>77</v>
      </c>
      <c r="K2" s="14" t="s">
        <v>77</v>
      </c>
    </row>
    <row r="3" spans="1:13" x14ac:dyDescent="0.25">
      <c r="A3" s="13" t="s">
        <v>78</v>
      </c>
      <c r="B3" s="17">
        <v>7923.5999999999913</v>
      </c>
      <c r="C3" s="17">
        <v>44295.333333333336</v>
      </c>
      <c r="D3" s="17">
        <v>2241448.6666666665</v>
      </c>
      <c r="E3" s="17">
        <v>3567740.3333333335</v>
      </c>
      <c r="F3" s="17">
        <v>164060.39565217393</v>
      </c>
      <c r="G3" s="17">
        <v>2352168.6666666665</v>
      </c>
      <c r="H3" s="17">
        <v>1255.4356500000001</v>
      </c>
      <c r="I3" s="17">
        <v>5784.2559999999994</v>
      </c>
      <c r="J3" s="17">
        <f>I3*2</f>
        <v>11568.511999999999</v>
      </c>
      <c r="K3" s="18">
        <v>21160.041000000005</v>
      </c>
    </row>
    <row r="4" spans="1:13" x14ac:dyDescent="0.25">
      <c r="A4" s="13" t="s">
        <v>79</v>
      </c>
      <c r="B4" s="17">
        <v>8555.5555555555457</v>
      </c>
      <c r="C4" s="17">
        <v>46340</v>
      </c>
      <c r="D4" s="17">
        <v>2275979</v>
      </c>
      <c r="E4" s="17">
        <v>3895625</v>
      </c>
      <c r="F4" s="17">
        <v>192286.95652173916</v>
      </c>
      <c r="G4" s="17">
        <v>2388775</v>
      </c>
      <c r="H4" s="17">
        <v>1483.9160000000002</v>
      </c>
      <c r="I4" s="17">
        <v>6386.04</v>
      </c>
      <c r="J4" s="17">
        <f>I4*2</f>
        <v>12772.08</v>
      </c>
      <c r="K4" s="18">
        <v>27828.368750000001</v>
      </c>
    </row>
    <row r="5" spans="1:13" x14ac:dyDescent="0.25">
      <c r="A5" s="13" t="s">
        <v>80</v>
      </c>
      <c r="B5" s="17">
        <v>7247.3333333333258</v>
      </c>
      <c r="C5" s="17">
        <v>42839</v>
      </c>
      <c r="D5" s="17">
        <v>2208206</v>
      </c>
      <c r="E5" s="17">
        <v>2957218</v>
      </c>
      <c r="F5" s="17">
        <v>148648.50000000003</v>
      </c>
      <c r="G5" s="17">
        <v>2282678</v>
      </c>
      <c r="H5" s="17">
        <v>1089.2070000000001</v>
      </c>
      <c r="I5" s="17">
        <v>5096</v>
      </c>
      <c r="J5" s="17">
        <f>I5*2</f>
        <v>10192</v>
      </c>
      <c r="K5" s="18">
        <v>17293.237499999999</v>
      </c>
    </row>
    <row r="6" spans="1:13" x14ac:dyDescent="0.25">
      <c r="A6" s="13" t="s">
        <v>81</v>
      </c>
      <c r="B6" s="15">
        <f>B4/B3</f>
        <v>1.0797561153459987</v>
      </c>
      <c r="C6" s="15">
        <f t="shared" ref="C6:K6" si="0">C4/C3</f>
        <v>1.0461598663516096</v>
      </c>
      <c r="D6" s="15">
        <f t="shared" si="0"/>
        <v>1.0154053643283674</v>
      </c>
      <c r="E6" s="15">
        <f t="shared" si="0"/>
        <v>1.0919026151099749</v>
      </c>
      <c r="F6" s="15">
        <f t="shared" si="0"/>
        <v>1.1720498159068728</v>
      </c>
      <c r="G6" s="15">
        <f t="shared" si="0"/>
        <v>1.0155628011936786</v>
      </c>
      <c r="H6" s="15">
        <f t="shared" si="0"/>
        <v>1.1819928803200705</v>
      </c>
      <c r="I6" s="15">
        <f t="shared" si="0"/>
        <v>1.1040382721649942</v>
      </c>
      <c r="J6" s="15">
        <f t="shared" si="0"/>
        <v>1.1040382721649942</v>
      </c>
      <c r="K6" s="19">
        <f t="shared" si="0"/>
        <v>1.3151377518597434</v>
      </c>
    </row>
    <row r="7" spans="1:13" x14ac:dyDescent="0.25">
      <c r="A7" s="13" t="s">
        <v>82</v>
      </c>
      <c r="B7" s="15">
        <f>B5/B3</f>
        <v>0.91465158934491064</v>
      </c>
      <c r="C7" s="15">
        <f t="shared" ref="C7:K7" si="1">C5/C3</f>
        <v>0.96712219496410456</v>
      </c>
      <c r="D7" s="15">
        <f t="shared" si="1"/>
        <v>0.98516911533106721</v>
      </c>
      <c r="E7" s="15">
        <f t="shared" si="1"/>
        <v>0.8288770268314557</v>
      </c>
      <c r="F7" s="15">
        <f t="shared" si="1"/>
        <v>0.90605962157467412</v>
      </c>
      <c r="G7" s="15">
        <f t="shared" si="1"/>
        <v>0.97045676713092865</v>
      </c>
      <c r="H7" s="15">
        <f t="shared" si="1"/>
        <v>0.86759285511766371</v>
      </c>
      <c r="I7" s="15">
        <f t="shared" si="1"/>
        <v>0.88101218203343701</v>
      </c>
      <c r="J7" s="15">
        <f t="shared" si="1"/>
        <v>0.88101218203343701</v>
      </c>
      <c r="K7" s="19">
        <f t="shared" si="1"/>
        <v>0.81725916788157427</v>
      </c>
    </row>
    <row r="8" spans="1:13" x14ac:dyDescent="0.25">
      <c r="A8" s="13" t="s">
        <v>0</v>
      </c>
      <c r="B8" s="17">
        <v>0</v>
      </c>
      <c r="C8" s="17">
        <v>0</v>
      </c>
      <c r="D8" s="17">
        <v>250479.84799170116</v>
      </c>
      <c r="E8" s="17">
        <v>0</v>
      </c>
      <c r="F8" s="17">
        <v>13967.082342810016</v>
      </c>
      <c r="G8" s="17">
        <v>365108.99327839573</v>
      </c>
      <c r="H8" s="17">
        <v>31.31986321542297</v>
      </c>
      <c r="I8" s="17">
        <v>0</v>
      </c>
      <c r="J8" s="17">
        <v>0</v>
      </c>
      <c r="K8" s="17">
        <v>0</v>
      </c>
    </row>
    <row r="9" spans="1:13" x14ac:dyDescent="0.25">
      <c r="A9" s="13" t="s">
        <v>1</v>
      </c>
      <c r="B9" s="17">
        <v>422.35463319961781</v>
      </c>
      <c r="C9" s="17">
        <v>11328.073569254806</v>
      </c>
      <c r="D9" s="17">
        <v>0</v>
      </c>
      <c r="E9" s="17">
        <v>647535.14555266348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</row>
    <row r="10" spans="1:13" x14ac:dyDescent="0.25">
      <c r="A10" s="13" t="s">
        <v>2</v>
      </c>
      <c r="B10" s="17">
        <v>411.31749899262718</v>
      </c>
      <c r="C10" s="17">
        <v>0</v>
      </c>
      <c r="D10" s="17">
        <v>0</v>
      </c>
      <c r="E10" s="17">
        <v>188258.35686871951</v>
      </c>
      <c r="F10" s="17">
        <v>39449.895842354374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</row>
    <row r="11" spans="1:13" x14ac:dyDescent="0.25">
      <c r="A11" s="13" t="s">
        <v>3</v>
      </c>
      <c r="B11" s="17">
        <v>0</v>
      </c>
      <c r="C11" s="17">
        <v>0</v>
      </c>
      <c r="D11" s="17">
        <v>0</v>
      </c>
      <c r="E11" s="17">
        <v>0</v>
      </c>
      <c r="F11" s="17">
        <v>39006.334648619086</v>
      </c>
      <c r="G11" s="17">
        <v>1014388.5253010313</v>
      </c>
      <c r="H11" s="17">
        <v>227.91764748795393</v>
      </c>
      <c r="I11" s="17">
        <v>0</v>
      </c>
      <c r="J11" s="17">
        <v>0</v>
      </c>
      <c r="K11" s="17">
        <v>0</v>
      </c>
    </row>
    <row r="12" spans="1:13" x14ac:dyDescent="0.25">
      <c r="A12" s="13" t="s">
        <v>4</v>
      </c>
      <c r="B12" s="17">
        <v>333.00939806366921</v>
      </c>
      <c r="C12" s="17">
        <v>0</v>
      </c>
      <c r="D12" s="17">
        <v>329334.28073228349</v>
      </c>
      <c r="E12" s="17">
        <v>641514.14554380556</v>
      </c>
      <c r="F12" s="17">
        <v>11630.513070511934</v>
      </c>
      <c r="G12" s="17">
        <v>0</v>
      </c>
      <c r="H12" s="17">
        <v>0</v>
      </c>
      <c r="I12" s="17">
        <v>0</v>
      </c>
      <c r="J12" s="17">
        <v>155.62829017806206</v>
      </c>
      <c r="K12" s="17">
        <v>0</v>
      </c>
    </row>
    <row r="13" spans="1:13" x14ac:dyDescent="0.25">
      <c r="A13" s="13" t="s">
        <v>5</v>
      </c>
      <c r="B13" s="17">
        <v>1376.632162204505</v>
      </c>
      <c r="C13" s="17">
        <v>12816.909576631362</v>
      </c>
      <c r="D13" s="17">
        <v>67456.309064639907</v>
      </c>
      <c r="E13" s="17">
        <v>305213.55913699884</v>
      </c>
      <c r="F13" s="17">
        <v>0</v>
      </c>
      <c r="G13" s="17">
        <v>72226.330361657718</v>
      </c>
      <c r="H13" s="17">
        <v>150.58596180906676</v>
      </c>
      <c r="I13" s="17">
        <v>0</v>
      </c>
      <c r="J13" s="17">
        <v>0</v>
      </c>
      <c r="K13" s="17">
        <v>0</v>
      </c>
      <c r="M13" s="21"/>
    </row>
    <row r="14" spans="1:13" x14ac:dyDescent="0.25">
      <c r="A14" s="13" t="s">
        <v>6</v>
      </c>
      <c r="B14" s="17">
        <v>0</v>
      </c>
      <c r="C14" s="17">
        <v>0</v>
      </c>
      <c r="D14" s="17">
        <v>136722.61316637258</v>
      </c>
      <c r="E14" s="17">
        <v>323925.94907266711</v>
      </c>
      <c r="F14" s="17">
        <v>0</v>
      </c>
      <c r="G14" s="17">
        <v>0</v>
      </c>
      <c r="H14" s="17">
        <v>68.187830864501208</v>
      </c>
      <c r="I14" s="17">
        <v>0</v>
      </c>
      <c r="J14" s="17">
        <v>0</v>
      </c>
      <c r="K14" s="17">
        <v>0</v>
      </c>
    </row>
    <row r="15" spans="1:13" x14ac:dyDescent="0.25">
      <c r="A15" s="13" t="s">
        <v>7</v>
      </c>
      <c r="B15" s="17">
        <v>0</v>
      </c>
      <c r="C15" s="17">
        <v>0</v>
      </c>
      <c r="D15" s="17">
        <v>203884.4245650385</v>
      </c>
      <c r="E15" s="17">
        <v>651338.22389123286</v>
      </c>
      <c r="F15" s="17">
        <v>55587.966013004399</v>
      </c>
      <c r="G15" s="17">
        <v>65176.443501328467</v>
      </c>
      <c r="H15" s="17">
        <v>120.03804275844229</v>
      </c>
      <c r="I15" s="17">
        <v>0</v>
      </c>
      <c r="J15" s="17">
        <v>814.5353769139233</v>
      </c>
      <c r="K15" s="17">
        <v>0</v>
      </c>
    </row>
    <row r="16" spans="1:13" x14ac:dyDescent="0.25">
      <c r="A16" s="13" t="s">
        <v>8</v>
      </c>
      <c r="B16" s="17">
        <v>1372.9702019853801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149.39079719827649</v>
      </c>
      <c r="I16" s="17">
        <v>0</v>
      </c>
      <c r="J16" s="17">
        <v>1982.5450684157167</v>
      </c>
      <c r="K16" s="17">
        <v>0</v>
      </c>
    </row>
    <row r="17" spans="1:11" x14ac:dyDescent="0.25">
      <c r="A17" s="13" t="s">
        <v>9</v>
      </c>
      <c r="B17" s="17">
        <v>419.12899837928109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96.126279910798957</v>
      </c>
      <c r="I17" s="17">
        <v>0</v>
      </c>
      <c r="J17" s="17">
        <v>3505.8502032384172</v>
      </c>
      <c r="K17" s="17">
        <v>0</v>
      </c>
    </row>
    <row r="18" spans="1:11" x14ac:dyDescent="0.25">
      <c r="A18" s="13" t="s">
        <v>10</v>
      </c>
      <c r="B18" s="17">
        <v>1002.4107065422578</v>
      </c>
      <c r="C18" s="17">
        <v>7218.0018373523153</v>
      </c>
      <c r="D18" s="17">
        <v>499991.07959303481</v>
      </c>
      <c r="E18" s="17">
        <v>0</v>
      </c>
      <c r="F18" s="17">
        <v>0</v>
      </c>
      <c r="G18" s="17">
        <v>0</v>
      </c>
      <c r="H18" s="17">
        <v>92.006587431133042</v>
      </c>
      <c r="I18" s="17">
        <v>0</v>
      </c>
      <c r="J18" s="17">
        <v>0</v>
      </c>
      <c r="K18" s="17">
        <v>0</v>
      </c>
    </row>
    <row r="19" spans="1:11" x14ac:dyDescent="0.25">
      <c r="A19" s="13" t="s">
        <v>11</v>
      </c>
      <c r="B19" s="17">
        <v>0</v>
      </c>
      <c r="C19" s="17">
        <v>807.53723810642498</v>
      </c>
      <c r="D19" s="17">
        <v>32661.814185763433</v>
      </c>
      <c r="E19" s="17">
        <v>300042.56319955364</v>
      </c>
      <c r="F19" s="17">
        <v>0</v>
      </c>
      <c r="G19" s="17">
        <v>835268.37422425323</v>
      </c>
      <c r="H19" s="17">
        <v>118.20910756964879</v>
      </c>
      <c r="I19" s="17">
        <v>0</v>
      </c>
      <c r="J19" s="17">
        <v>3215.5002983897816</v>
      </c>
      <c r="K19" s="17">
        <v>0</v>
      </c>
    </row>
    <row r="20" spans="1:11" x14ac:dyDescent="0.25">
      <c r="A20" s="13" t="s">
        <v>12</v>
      </c>
      <c r="B20" s="17">
        <v>1131.0640650156404</v>
      </c>
      <c r="C20" s="17">
        <v>9951.9650627320298</v>
      </c>
      <c r="D20" s="17">
        <v>634397.23091211345</v>
      </c>
      <c r="E20" s="17">
        <v>506612.19951621257</v>
      </c>
      <c r="F20" s="17">
        <v>3778.9130585656335</v>
      </c>
      <c r="G20" s="17">
        <v>0</v>
      </c>
      <c r="H20" s="17">
        <v>63.138769152090809</v>
      </c>
      <c r="I20" s="17">
        <v>0</v>
      </c>
      <c r="J20" s="17">
        <v>1894.4527628640972</v>
      </c>
      <c r="K20" s="17">
        <v>0</v>
      </c>
    </row>
    <row r="21" spans="1:11" x14ac:dyDescent="0.25">
      <c r="A21" s="13" t="s">
        <v>13</v>
      </c>
      <c r="B21" s="17">
        <v>1454.712335617013</v>
      </c>
      <c r="C21" s="17">
        <v>2172.8460492563941</v>
      </c>
      <c r="D21" s="17">
        <v>84614.102532661811</v>
      </c>
      <c r="E21" s="17">
        <v>0</v>
      </c>
      <c r="F21" s="17">
        <v>0</v>
      </c>
      <c r="G21" s="17">
        <v>0</v>
      </c>
      <c r="H21" s="17">
        <v>138.5147626026648</v>
      </c>
      <c r="I21" s="17">
        <v>0</v>
      </c>
      <c r="J21" s="17">
        <v>0</v>
      </c>
      <c r="K21" s="17">
        <v>0</v>
      </c>
    </row>
    <row r="22" spans="1:11" x14ac:dyDescent="0.25">
      <c r="A22" s="13" t="s">
        <v>14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3232.9000917040712</v>
      </c>
      <c r="J22" s="17">
        <v>0</v>
      </c>
      <c r="K22" s="17">
        <v>0</v>
      </c>
    </row>
    <row r="23" spans="1:11" x14ac:dyDescent="0.25">
      <c r="A23" s="13" t="s">
        <v>15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2551.3559082959277</v>
      </c>
      <c r="J23" s="17">
        <v>0</v>
      </c>
      <c r="K23" s="17">
        <v>0</v>
      </c>
    </row>
    <row r="24" spans="1:11" x14ac:dyDescent="0.25">
      <c r="A24" s="13" t="s">
        <v>16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14834.97014602643</v>
      </c>
    </row>
    <row r="25" spans="1:11" x14ac:dyDescent="0.25">
      <c r="A25" s="13" t="s">
        <v>17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6229.9622564825358</v>
      </c>
    </row>
    <row r="26" spans="1:11" x14ac:dyDescent="0.25">
      <c r="A26" s="13" t="s">
        <v>18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95.108597491038353</v>
      </c>
    </row>
    <row r="27" spans="1:11" x14ac:dyDescent="0.25">
      <c r="A27" s="13" t="s">
        <v>19</v>
      </c>
      <c r="B27" s="17">
        <v>0</v>
      </c>
      <c r="C27" s="17">
        <v>0</v>
      </c>
      <c r="D27" s="17">
        <v>1906.9639230571736</v>
      </c>
      <c r="E27" s="17">
        <v>3300.190551479704</v>
      </c>
      <c r="F27" s="17">
        <v>639.69067630850429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</row>
    <row r="29" spans="1:11" x14ac:dyDescent="0.25">
      <c r="F29" s="9"/>
    </row>
    <row r="30" spans="1:11" x14ac:dyDescent="0.25"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1:11" x14ac:dyDescent="0.25"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 x14ac:dyDescent="0.25"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2:11" x14ac:dyDescent="0.25"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2:11" x14ac:dyDescent="0.25"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2:11" x14ac:dyDescent="0.25"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spans="2:11" x14ac:dyDescent="0.25"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spans="2:11" x14ac:dyDescent="0.25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2:11" x14ac:dyDescent="0.25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2:11" x14ac:dyDescent="0.25"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2:11" x14ac:dyDescent="0.25"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spans="2:11" x14ac:dyDescent="0.25"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2:11" x14ac:dyDescent="0.25"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2:11" x14ac:dyDescent="0.25"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2:11" x14ac:dyDescent="0.25"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spans="2:11" x14ac:dyDescent="0.25"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spans="2:11" x14ac:dyDescent="0.25"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spans="2:11" x14ac:dyDescent="0.25"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spans="2:11" x14ac:dyDescent="0.25"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spans="2:11" x14ac:dyDescent="0.25">
      <c r="B49" s="17"/>
      <c r="C49" s="17"/>
      <c r="D49" s="17"/>
      <c r="E49" s="17"/>
      <c r="F49" s="17"/>
      <c r="G49" s="17"/>
      <c r="H49" s="17"/>
      <c r="I49" s="17"/>
      <c r="J49" s="17"/>
      <c r="K49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FB96-22CB-4B43-9A87-9AB2DFEB458D}">
  <dimension ref="A1:AH49"/>
  <sheetViews>
    <sheetView zoomScaleNormal="100" workbookViewId="0">
      <selection activeCell="P13" sqref="P13"/>
    </sheetView>
  </sheetViews>
  <sheetFormatPr defaultRowHeight="15" x14ac:dyDescent="0.25"/>
  <sheetData>
    <row r="1" spans="1:34" x14ac:dyDescent="0.25">
      <c r="B1" s="12" t="s">
        <v>20</v>
      </c>
      <c r="C1" s="12" t="s">
        <v>21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2" t="s">
        <v>29</v>
      </c>
    </row>
    <row r="2" spans="1:34" x14ac:dyDescent="0.25"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34" x14ac:dyDescent="0.25">
      <c r="A3" s="11" t="s">
        <v>78</v>
      </c>
      <c r="B3" s="1">
        <v>34</v>
      </c>
      <c r="C3" s="1">
        <v>40</v>
      </c>
      <c r="D3" s="1">
        <v>10</v>
      </c>
      <c r="E3" s="1">
        <v>5.5</v>
      </c>
      <c r="F3" s="1">
        <v>40.31333333333334</v>
      </c>
      <c r="G3" s="1">
        <v>4.4000000000000004</v>
      </c>
      <c r="H3" s="1">
        <v>27</v>
      </c>
      <c r="I3" s="5">
        <v>24.25</v>
      </c>
      <c r="J3" s="1">
        <v>32</v>
      </c>
      <c r="K3" s="1">
        <v>153.36904761904762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34" x14ac:dyDescent="0.25">
      <c r="A4" s="11" t="s">
        <v>79</v>
      </c>
      <c r="B4" s="1">
        <v>38</v>
      </c>
      <c r="C4" s="1">
        <v>68</v>
      </c>
      <c r="D4" s="1">
        <v>11</v>
      </c>
      <c r="E4" s="1">
        <v>8.4499999999999993</v>
      </c>
      <c r="F4" s="1">
        <v>65</v>
      </c>
      <c r="G4" s="1">
        <v>7.1</v>
      </c>
      <c r="H4" s="1">
        <v>43.53</v>
      </c>
      <c r="I4" s="5">
        <v>40</v>
      </c>
      <c r="J4" s="1">
        <v>38</v>
      </c>
      <c r="K4" s="1">
        <v>284</v>
      </c>
      <c r="M4" s="10"/>
      <c r="N4" s="3"/>
      <c r="O4" s="3"/>
      <c r="P4" s="3"/>
      <c r="Q4" s="3"/>
      <c r="R4" s="3"/>
      <c r="S4" s="3"/>
      <c r="T4" s="3"/>
      <c r="U4" s="3"/>
      <c r="V4" s="3"/>
    </row>
    <row r="5" spans="1:34" x14ac:dyDescent="0.25">
      <c r="A5" s="11" t="s">
        <v>80</v>
      </c>
      <c r="B5" s="1">
        <v>17.5</v>
      </c>
      <c r="C5" s="1">
        <v>23</v>
      </c>
      <c r="D5" s="1">
        <v>8.6</v>
      </c>
      <c r="E5" s="1">
        <v>1.5</v>
      </c>
      <c r="F5" s="1">
        <v>31.5</v>
      </c>
      <c r="G5" s="1">
        <v>2.62</v>
      </c>
      <c r="H5" s="1">
        <v>21.1</v>
      </c>
      <c r="I5" s="5">
        <v>8.5</v>
      </c>
      <c r="J5" s="1">
        <v>19.3</v>
      </c>
      <c r="K5" s="1">
        <v>71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34" x14ac:dyDescent="0.25">
      <c r="A6" s="11" t="s">
        <v>81</v>
      </c>
      <c r="B6" s="1">
        <v>1.1176470588235294</v>
      </c>
      <c r="C6" s="1">
        <v>1.7</v>
      </c>
      <c r="D6" s="1">
        <v>1.1000000000000001</v>
      </c>
      <c r="E6" s="1">
        <v>1.5363636363636362</v>
      </c>
      <c r="F6" s="1">
        <v>1.6123697701339506</v>
      </c>
      <c r="G6" s="1">
        <v>1.6136363636363635</v>
      </c>
      <c r="H6" s="1">
        <v>1.5185185185185186</v>
      </c>
      <c r="I6" s="1">
        <v>1.6494845360824741</v>
      </c>
      <c r="J6" s="1">
        <v>1.1875</v>
      </c>
      <c r="K6" s="1">
        <v>1.8517426065357447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34" x14ac:dyDescent="0.25">
      <c r="A7" s="11" t="s">
        <v>82</v>
      </c>
      <c r="B7" s="1">
        <v>0.51470588235294112</v>
      </c>
      <c r="C7" s="1">
        <v>0.57499999999999996</v>
      </c>
      <c r="D7" s="1">
        <v>0.86</v>
      </c>
      <c r="E7" s="1">
        <v>0.27272727272727271</v>
      </c>
      <c r="F7" s="1">
        <v>0.78137919629568364</v>
      </c>
      <c r="G7" s="1">
        <v>0.59545454545454546</v>
      </c>
      <c r="H7" s="1">
        <v>1</v>
      </c>
      <c r="I7" s="1">
        <v>0.35051546391752575</v>
      </c>
      <c r="J7" s="1">
        <v>0.60312500000000002</v>
      </c>
      <c r="K7" s="1">
        <v>0.46293565163393618</v>
      </c>
      <c r="M7" s="7"/>
      <c r="N7" s="3"/>
      <c r="O7" s="3"/>
      <c r="P7" s="3"/>
      <c r="Q7" s="3"/>
      <c r="R7" s="3"/>
      <c r="S7" s="3"/>
      <c r="T7" s="3"/>
      <c r="U7" s="3"/>
      <c r="V7" s="3"/>
    </row>
    <row r="8" spans="1:34" x14ac:dyDescent="0.25">
      <c r="A8" s="11" t="s">
        <v>0</v>
      </c>
      <c r="B8" s="8">
        <v>0</v>
      </c>
      <c r="C8" s="8">
        <v>0</v>
      </c>
      <c r="D8" s="8">
        <v>10</v>
      </c>
      <c r="E8" s="8">
        <v>0</v>
      </c>
      <c r="F8" s="8">
        <v>40.31333333333334</v>
      </c>
      <c r="G8" s="8">
        <v>4.4000000000000004</v>
      </c>
      <c r="H8" s="8">
        <v>27</v>
      </c>
      <c r="I8" s="8">
        <v>0</v>
      </c>
      <c r="J8" s="8">
        <v>0</v>
      </c>
      <c r="K8" s="8">
        <v>0</v>
      </c>
    </row>
    <row r="9" spans="1:34" x14ac:dyDescent="0.25">
      <c r="A9" s="11" t="s">
        <v>1</v>
      </c>
      <c r="B9" s="8">
        <v>34</v>
      </c>
      <c r="C9" s="8">
        <v>40</v>
      </c>
      <c r="D9" s="8">
        <v>0</v>
      </c>
      <c r="E9" s="8">
        <v>5.5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3"/>
    </row>
    <row r="10" spans="1:34" x14ac:dyDescent="0.25">
      <c r="A10" s="11" t="s">
        <v>2</v>
      </c>
      <c r="B10" s="8">
        <v>34</v>
      </c>
      <c r="C10" s="8">
        <v>0</v>
      </c>
      <c r="D10" s="8">
        <v>0</v>
      </c>
      <c r="E10" s="8">
        <v>5.5</v>
      </c>
      <c r="F10" s="8">
        <v>40.31333333333334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3"/>
    </row>
    <row r="11" spans="1:34" x14ac:dyDescent="0.25">
      <c r="A11" s="11" t="s">
        <v>3</v>
      </c>
      <c r="B11" s="8">
        <v>0</v>
      </c>
      <c r="C11" s="8">
        <v>0</v>
      </c>
      <c r="D11" s="8">
        <v>0</v>
      </c>
      <c r="E11" s="8">
        <v>0</v>
      </c>
      <c r="F11" s="8">
        <v>40.31333333333334</v>
      </c>
      <c r="G11" s="8">
        <v>4.4000000000000004</v>
      </c>
      <c r="H11" s="8">
        <v>27</v>
      </c>
      <c r="I11" s="8">
        <v>0</v>
      </c>
      <c r="J11" s="8">
        <v>0</v>
      </c>
      <c r="K11" s="8">
        <v>0</v>
      </c>
      <c r="L11" s="3"/>
    </row>
    <row r="12" spans="1:34" x14ac:dyDescent="0.25">
      <c r="A12" s="11" t="s">
        <v>4</v>
      </c>
      <c r="B12" s="8">
        <v>34</v>
      </c>
      <c r="C12" s="8">
        <v>0</v>
      </c>
      <c r="D12" s="8">
        <v>10</v>
      </c>
      <c r="E12" s="8">
        <v>5.5</v>
      </c>
      <c r="F12" s="8">
        <v>40.31333333333334</v>
      </c>
      <c r="G12" s="8">
        <v>0</v>
      </c>
      <c r="H12" s="8">
        <v>0</v>
      </c>
      <c r="I12" s="8">
        <v>0</v>
      </c>
      <c r="J12" s="8">
        <v>32</v>
      </c>
      <c r="K12" s="8">
        <v>0</v>
      </c>
      <c r="L12" s="3"/>
    </row>
    <row r="13" spans="1:34" x14ac:dyDescent="0.25">
      <c r="A13" s="11" t="s">
        <v>5</v>
      </c>
      <c r="B13" s="8">
        <v>34</v>
      </c>
      <c r="C13" s="8">
        <v>40</v>
      </c>
      <c r="D13" s="8">
        <v>10</v>
      </c>
      <c r="E13" s="8">
        <v>5.5</v>
      </c>
      <c r="F13" s="8">
        <v>0</v>
      </c>
      <c r="G13" s="8">
        <v>4.4000000000000004</v>
      </c>
      <c r="H13" s="8">
        <v>27</v>
      </c>
      <c r="I13" s="8">
        <v>0</v>
      </c>
      <c r="J13" s="8">
        <v>0</v>
      </c>
      <c r="K13" s="8">
        <v>0</v>
      </c>
      <c r="L13" s="3"/>
      <c r="X13" s="3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25">
      <c r="A14" s="11" t="s">
        <v>6</v>
      </c>
      <c r="B14" s="8">
        <v>0</v>
      </c>
      <c r="C14" s="8">
        <v>0</v>
      </c>
      <c r="D14" s="8">
        <v>10</v>
      </c>
      <c r="E14" s="8">
        <v>5.5</v>
      </c>
      <c r="F14" s="8">
        <v>0</v>
      </c>
      <c r="G14" s="8">
        <v>0</v>
      </c>
      <c r="H14" s="8">
        <v>27</v>
      </c>
      <c r="I14" s="8">
        <v>0</v>
      </c>
      <c r="J14" s="8">
        <v>0</v>
      </c>
      <c r="K14" s="8">
        <v>0</v>
      </c>
      <c r="L14" s="3"/>
      <c r="X14" s="3"/>
      <c r="Y14" s="1"/>
      <c r="Z14" s="1"/>
      <c r="AA14" s="1"/>
      <c r="AB14" s="1"/>
      <c r="AC14" s="1"/>
    </row>
    <row r="15" spans="1:34" x14ac:dyDescent="0.25">
      <c r="A15" s="11" t="s">
        <v>7</v>
      </c>
      <c r="B15" s="8">
        <v>0</v>
      </c>
      <c r="C15" s="8">
        <v>0</v>
      </c>
      <c r="D15" s="8">
        <v>10</v>
      </c>
      <c r="E15" s="8">
        <v>5.5</v>
      </c>
      <c r="F15" s="8">
        <v>40.31333333333334</v>
      </c>
      <c r="G15" s="8">
        <v>4.4000000000000004</v>
      </c>
      <c r="H15" s="8">
        <v>27</v>
      </c>
      <c r="I15" s="8">
        <v>0</v>
      </c>
      <c r="J15" s="8">
        <v>32</v>
      </c>
      <c r="K15" s="8">
        <v>0</v>
      </c>
      <c r="L15" s="3"/>
      <c r="X15" s="3"/>
      <c r="Y15" s="5"/>
      <c r="Z15" s="5"/>
      <c r="AA15" s="5"/>
      <c r="AB15" s="1"/>
      <c r="AC15" s="1"/>
    </row>
    <row r="16" spans="1:34" x14ac:dyDescent="0.25">
      <c r="A16" s="11" t="s">
        <v>8</v>
      </c>
      <c r="B16" s="8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27</v>
      </c>
      <c r="I16" s="8">
        <v>0</v>
      </c>
      <c r="J16" s="8">
        <v>32</v>
      </c>
      <c r="K16" s="8">
        <v>0</v>
      </c>
      <c r="L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29" x14ac:dyDescent="0.25">
      <c r="A17" s="11" t="s">
        <v>9</v>
      </c>
      <c r="B17" s="8">
        <v>34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27</v>
      </c>
      <c r="I17" s="8">
        <v>0</v>
      </c>
      <c r="J17" s="8">
        <v>32</v>
      </c>
      <c r="K17" s="8">
        <v>0</v>
      </c>
      <c r="L17" s="3"/>
    </row>
    <row r="18" spans="1:29" x14ac:dyDescent="0.25">
      <c r="A18" s="11" t="s">
        <v>10</v>
      </c>
      <c r="B18" s="8">
        <v>34</v>
      </c>
      <c r="C18" s="8">
        <v>40</v>
      </c>
      <c r="D18" s="8">
        <v>10</v>
      </c>
      <c r="E18" s="8">
        <v>0</v>
      </c>
      <c r="F18" s="8">
        <v>0</v>
      </c>
      <c r="G18" s="8">
        <v>0</v>
      </c>
      <c r="H18" s="8">
        <v>27</v>
      </c>
      <c r="I18" s="8">
        <v>0</v>
      </c>
      <c r="J18" s="8">
        <v>0</v>
      </c>
      <c r="K18" s="8">
        <v>0</v>
      </c>
      <c r="L18" s="3"/>
    </row>
    <row r="19" spans="1:29" x14ac:dyDescent="0.25">
      <c r="A19" s="11" t="s">
        <v>11</v>
      </c>
      <c r="B19" s="8">
        <v>0</v>
      </c>
      <c r="C19" s="8">
        <v>40</v>
      </c>
      <c r="D19" s="8">
        <v>10</v>
      </c>
      <c r="E19" s="8">
        <v>5.5</v>
      </c>
      <c r="F19" s="8">
        <v>0</v>
      </c>
      <c r="G19" s="8">
        <v>4.4000000000000004</v>
      </c>
      <c r="H19" s="8">
        <v>27</v>
      </c>
      <c r="I19" s="8">
        <v>0</v>
      </c>
      <c r="J19" s="8">
        <v>32</v>
      </c>
      <c r="K19" s="8">
        <v>0</v>
      </c>
      <c r="L19" s="3"/>
    </row>
    <row r="20" spans="1:29" x14ac:dyDescent="0.25">
      <c r="A20" s="11" t="s">
        <v>12</v>
      </c>
      <c r="B20" s="8">
        <v>34</v>
      </c>
      <c r="C20" s="8">
        <v>40</v>
      </c>
      <c r="D20" s="8">
        <v>10</v>
      </c>
      <c r="E20" s="8">
        <v>5.5</v>
      </c>
      <c r="F20" s="8">
        <v>40.31333333333334</v>
      </c>
      <c r="G20" s="8">
        <v>0</v>
      </c>
      <c r="H20" s="8">
        <v>27</v>
      </c>
      <c r="I20" s="8">
        <v>0</v>
      </c>
      <c r="J20" s="8">
        <v>32</v>
      </c>
      <c r="K20" s="8">
        <v>0</v>
      </c>
      <c r="L20" s="3"/>
    </row>
    <row r="21" spans="1:29" x14ac:dyDescent="0.25">
      <c r="A21" s="11" t="s">
        <v>13</v>
      </c>
      <c r="B21" s="8">
        <v>34</v>
      </c>
      <c r="C21" s="8">
        <v>40</v>
      </c>
      <c r="D21" s="8">
        <v>10</v>
      </c>
      <c r="E21" s="8">
        <v>0</v>
      </c>
      <c r="F21" s="8">
        <v>0</v>
      </c>
      <c r="G21" s="8">
        <v>0</v>
      </c>
      <c r="H21" s="8">
        <v>27</v>
      </c>
      <c r="I21" s="8">
        <v>0</v>
      </c>
      <c r="J21" s="8">
        <v>0</v>
      </c>
      <c r="K21" s="8">
        <v>0</v>
      </c>
    </row>
    <row r="22" spans="1:29" x14ac:dyDescent="0.25">
      <c r="A22" s="11" t="s">
        <v>14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24.25</v>
      </c>
      <c r="J22" s="8">
        <v>0</v>
      </c>
      <c r="K22" s="8">
        <v>0</v>
      </c>
    </row>
    <row r="23" spans="1:29" x14ac:dyDescent="0.25">
      <c r="A23" s="11" t="s">
        <v>15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24.25</v>
      </c>
      <c r="J23" s="8">
        <v>0</v>
      </c>
      <c r="K23" s="8">
        <v>0</v>
      </c>
    </row>
    <row r="24" spans="1:29" x14ac:dyDescent="0.25">
      <c r="A24" s="11" t="s">
        <v>16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153.36904761904762</v>
      </c>
    </row>
    <row r="25" spans="1:29" x14ac:dyDescent="0.25">
      <c r="A25" s="11" t="s">
        <v>17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153.36904761904762</v>
      </c>
    </row>
    <row r="26" spans="1:29" x14ac:dyDescent="0.25">
      <c r="A26" s="11" t="s">
        <v>18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153.36904761904762</v>
      </c>
      <c r="X26" s="3"/>
      <c r="Y26" s="1"/>
      <c r="Z26" s="1"/>
      <c r="AA26" s="1"/>
      <c r="AB26" s="1"/>
      <c r="AC26" s="1"/>
    </row>
    <row r="27" spans="1:29" x14ac:dyDescent="0.25">
      <c r="A27" s="11" t="s">
        <v>19</v>
      </c>
      <c r="B27" s="8">
        <v>0</v>
      </c>
      <c r="C27" s="8">
        <v>0</v>
      </c>
      <c r="D27" s="8">
        <v>10</v>
      </c>
      <c r="E27" s="8">
        <v>5.5</v>
      </c>
      <c r="F27" s="8">
        <v>40.31333333333334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X27" s="3"/>
      <c r="Y27" s="1"/>
      <c r="Z27" s="1"/>
      <c r="AA27" s="1"/>
      <c r="AB27" s="1"/>
      <c r="AC27" s="1"/>
    </row>
    <row r="28" spans="1:29" x14ac:dyDescent="0.25">
      <c r="X28" s="3"/>
      <c r="Y28" s="5"/>
      <c r="Z28" s="5"/>
      <c r="AA28" s="5"/>
      <c r="AB28" s="1"/>
      <c r="AC28" s="1"/>
    </row>
    <row r="29" spans="1:29" x14ac:dyDescent="0.25">
      <c r="X29" s="3"/>
      <c r="Y29" s="1"/>
      <c r="Z29" s="1"/>
      <c r="AA29" s="1"/>
      <c r="AB29" s="1"/>
      <c r="AC29" s="1"/>
    </row>
    <row r="30" spans="1:29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X30" s="3"/>
      <c r="Y30" s="1"/>
      <c r="Z30" s="1"/>
      <c r="AA30" s="1"/>
      <c r="AB30" s="1"/>
      <c r="AC30" s="1"/>
    </row>
    <row r="31" spans="1:29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29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2:1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2:1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2:1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2:1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2:1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2:1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2:1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2:1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2:11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2:11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2:1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2:11" x14ac:dyDescent="0.25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2:11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2:11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2:11" x14ac:dyDescent="0.25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2:11" x14ac:dyDescent="0.25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2:11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Item characteristics</vt:lpstr>
      <vt:lpstr>Ct</vt:lpstr>
      <vt:lpstr>Availability</vt:lpstr>
      <vt:lpstr>Purchase costs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Davide Carecci</dc:creator>
  <cp:keywords/>
  <dc:description/>
  <cp:lastModifiedBy>Davide Carecci</cp:lastModifiedBy>
  <cp:revision/>
  <dcterms:created xsi:type="dcterms:W3CDTF">2024-03-11T18:24:42Z</dcterms:created>
  <dcterms:modified xsi:type="dcterms:W3CDTF">2025-10-21T14:07:03Z</dcterms:modified>
  <cp:category/>
  <cp:contentStatus/>
</cp:coreProperties>
</file>