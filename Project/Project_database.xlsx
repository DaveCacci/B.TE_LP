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https://polimi365-my.sharepoint.com/personal/10530006_polimi_it/Documents/Work_cloud/DOTTORATO/Robust Optimization/Project/"/>
    </mc:Choice>
  </mc:AlternateContent>
  <xr:revisionPtr revIDLastSave="238" documentId="13_ncr:1_{3569C1BF-E599-4CC3-958C-CF2B068FF8B8}" xr6:coauthVersionLast="47" xr6:coauthVersionMax="47" xr10:uidLastSave="{9F87C656-96AA-4530-A583-6C4DB92D4076}"/>
  <bookViews>
    <workbookView xWindow="-23148" yWindow="-108" windowWidth="23256" windowHeight="12456" xr2:uid="{66A798E0-9E9A-4626-9FF9-44F67D5440CA}"/>
  </bookViews>
  <sheets>
    <sheet name="Sheet1" sheetId="5" r:id="rId1"/>
    <sheet name="Item characteristics" sheetId="1" r:id="rId2"/>
    <sheet name="Ct" sheetId="2" r:id="rId3"/>
    <sheet name="Availability" sheetId="4" r:id="rId4"/>
    <sheet name="Purchase prices" sheetId="3" r:id="rId5"/>
    <sheet name="For Report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4" l="1"/>
  <c r="C27" i="4"/>
  <c r="D27" i="4"/>
  <c r="G27" i="4"/>
  <c r="H27" i="4"/>
  <c r="I27" i="4"/>
  <c r="J27" i="4"/>
  <c r="K27" i="4"/>
  <c r="AI31" i="4"/>
  <c r="AI30" i="4"/>
  <c r="D24" i="5"/>
  <c r="D22" i="5"/>
  <c r="D21" i="5"/>
  <c r="D20" i="5"/>
  <c r="D18" i="5"/>
  <c r="B15" i="5"/>
  <c r="C3" i="2"/>
  <c r="L9" i="1"/>
  <c r="L11" i="1"/>
  <c r="L3" i="1"/>
  <c r="K10" i="1" l="1"/>
  <c r="K7" i="1"/>
  <c r="K3" i="1" l="1"/>
  <c r="K9" i="1"/>
  <c r="K11" i="1"/>
  <c r="K12" i="1"/>
  <c r="K5" i="1"/>
  <c r="K4" i="1"/>
  <c r="K8" i="1"/>
  <c r="K6" i="1" l="1"/>
  <c r="Q4" i="1"/>
  <c r="Q5" i="1"/>
  <c r="Q6" i="1"/>
  <c r="Q7" i="1"/>
  <c r="Q8" i="1"/>
  <c r="Q9" i="1"/>
  <c r="Q10" i="1"/>
  <c r="Q11" i="1"/>
  <c r="Q12" i="1"/>
  <c r="Q3" i="1"/>
  <c r="AC12" i="1" l="1"/>
  <c r="AB12" i="1"/>
  <c r="AA12" i="1"/>
  <c r="Z12" i="1"/>
  <c r="Y12" i="1"/>
  <c r="X12" i="1"/>
  <c r="AC11" i="1"/>
  <c r="AB11" i="1"/>
  <c r="AA11" i="1"/>
  <c r="Z11" i="1"/>
  <c r="Y11" i="1"/>
  <c r="X11" i="1"/>
  <c r="AC10" i="1"/>
  <c r="AB10" i="1"/>
  <c r="AA10" i="1"/>
  <c r="Z10" i="1"/>
  <c r="Y10" i="1"/>
  <c r="X10" i="1"/>
  <c r="AC9" i="1"/>
  <c r="AB9" i="1"/>
  <c r="AA9" i="1"/>
  <c r="Z9" i="1"/>
  <c r="Y9" i="1"/>
  <c r="X9" i="1"/>
  <c r="AC8" i="1"/>
  <c r="AB8" i="1"/>
  <c r="AA8" i="1"/>
  <c r="Z8" i="1"/>
  <c r="Y8" i="1"/>
  <c r="X8" i="1"/>
  <c r="AC7" i="1"/>
  <c r="AB7" i="1"/>
  <c r="AA7" i="1"/>
  <c r="Z7" i="1"/>
  <c r="Y7" i="1"/>
  <c r="X7" i="1"/>
  <c r="AC6" i="1"/>
  <c r="AB6" i="1"/>
  <c r="AA6" i="1"/>
  <c r="Z6" i="1"/>
  <c r="Y6" i="1"/>
  <c r="X6" i="1"/>
  <c r="AC5" i="1"/>
  <c r="AB5" i="1"/>
  <c r="AA5" i="1"/>
  <c r="Z5" i="1"/>
  <c r="Y5" i="1"/>
  <c r="X5" i="1"/>
  <c r="AC4" i="1"/>
  <c r="AB4" i="1"/>
  <c r="AA4" i="1"/>
  <c r="Z4" i="1"/>
  <c r="Y4" i="1"/>
  <c r="X4" i="1"/>
  <c r="AC3" i="1"/>
  <c r="AB3" i="1"/>
  <c r="AA3" i="1"/>
  <c r="Z3" i="1"/>
  <c r="Y3" i="1"/>
  <c r="X3" i="1"/>
  <c r="E4" i="2"/>
  <c r="F4" i="2"/>
  <c r="G4" i="2"/>
  <c r="H4" i="2"/>
  <c r="I4" i="2"/>
  <c r="J4" i="2"/>
  <c r="K4" i="2"/>
  <c r="L4" i="2"/>
  <c r="E5" i="2"/>
  <c r="F5" i="2"/>
  <c r="G5" i="2"/>
  <c r="H5" i="2"/>
  <c r="I5" i="2"/>
  <c r="J5" i="2"/>
  <c r="K5" i="2"/>
  <c r="L5" i="2"/>
  <c r="E6" i="2"/>
  <c r="F6" i="2"/>
  <c r="G6" i="2"/>
  <c r="H6" i="2"/>
  <c r="I6" i="2"/>
  <c r="J6" i="2"/>
  <c r="K6" i="2"/>
  <c r="L6" i="2"/>
  <c r="E7" i="2"/>
  <c r="F7" i="2"/>
  <c r="G7" i="2"/>
  <c r="H7" i="2"/>
  <c r="I7" i="2"/>
  <c r="J7" i="2"/>
  <c r="K7" i="2"/>
  <c r="L7" i="2"/>
  <c r="E8" i="2"/>
  <c r="F8" i="2"/>
  <c r="G8" i="2"/>
  <c r="H8" i="2"/>
  <c r="I8" i="2"/>
  <c r="J8" i="2"/>
  <c r="K8" i="2"/>
  <c r="L8" i="2"/>
  <c r="E9" i="2"/>
  <c r="F9" i="2"/>
  <c r="G9" i="2"/>
  <c r="H9" i="2"/>
  <c r="I9" i="2"/>
  <c r="J9" i="2"/>
  <c r="K9" i="2"/>
  <c r="L9" i="2"/>
  <c r="E10" i="2"/>
  <c r="F10" i="2"/>
  <c r="G10" i="2"/>
  <c r="H10" i="2"/>
  <c r="I10" i="2"/>
  <c r="J10" i="2"/>
  <c r="K10" i="2"/>
  <c r="L10" i="2"/>
  <c r="E11" i="2"/>
  <c r="F11" i="2"/>
  <c r="G11" i="2"/>
  <c r="H11" i="2"/>
  <c r="I11" i="2"/>
  <c r="J11" i="2"/>
  <c r="K11" i="2"/>
  <c r="L11" i="2"/>
  <c r="E12" i="2"/>
  <c r="F12" i="2"/>
  <c r="G12" i="2"/>
  <c r="H12" i="2"/>
  <c r="I12" i="2"/>
  <c r="J12" i="2"/>
  <c r="K12" i="2"/>
  <c r="L12" i="2"/>
  <c r="E13" i="2"/>
  <c r="F13" i="2"/>
  <c r="G13" i="2"/>
  <c r="H13" i="2"/>
  <c r="I13" i="2"/>
  <c r="J13" i="2"/>
  <c r="K13" i="2"/>
  <c r="L13" i="2"/>
  <c r="E14" i="2"/>
  <c r="F14" i="2"/>
  <c r="G14" i="2"/>
  <c r="H14" i="2"/>
  <c r="I14" i="2"/>
  <c r="J14" i="2"/>
  <c r="K14" i="2"/>
  <c r="L14" i="2"/>
  <c r="E15" i="2"/>
  <c r="F15" i="2"/>
  <c r="G15" i="2"/>
  <c r="H15" i="2"/>
  <c r="I15" i="2"/>
  <c r="J15" i="2"/>
  <c r="K15" i="2"/>
  <c r="L15" i="2"/>
  <c r="E16" i="2"/>
  <c r="F16" i="2"/>
  <c r="G16" i="2"/>
  <c r="H16" i="2"/>
  <c r="I16" i="2"/>
  <c r="J16" i="2"/>
  <c r="K16" i="2"/>
  <c r="L16" i="2"/>
  <c r="E17" i="2"/>
  <c r="F17" i="2"/>
  <c r="G17" i="2"/>
  <c r="H17" i="2"/>
  <c r="I17" i="2"/>
  <c r="J17" i="2"/>
  <c r="K17" i="2"/>
  <c r="L17" i="2"/>
  <c r="E18" i="2"/>
  <c r="F18" i="2"/>
  <c r="G18" i="2"/>
  <c r="H18" i="2"/>
  <c r="I18" i="2"/>
  <c r="J18" i="2"/>
  <c r="K18" i="2"/>
  <c r="L18" i="2"/>
  <c r="E19" i="2"/>
  <c r="F19" i="2"/>
  <c r="G19" i="2"/>
  <c r="H19" i="2"/>
  <c r="I19" i="2"/>
  <c r="J19" i="2"/>
  <c r="K19" i="2"/>
  <c r="L19" i="2"/>
  <c r="E20" i="2"/>
  <c r="F20" i="2"/>
  <c r="G20" i="2"/>
  <c r="H20" i="2"/>
  <c r="I20" i="2"/>
  <c r="J20" i="2"/>
  <c r="K20" i="2"/>
  <c r="L20" i="2"/>
  <c r="E21" i="2"/>
  <c r="F21" i="2"/>
  <c r="G21" i="2"/>
  <c r="H21" i="2"/>
  <c r="I21" i="2"/>
  <c r="J21" i="2"/>
  <c r="K21" i="2"/>
  <c r="L21" i="2"/>
  <c r="L3" i="2"/>
  <c r="K3" i="2"/>
  <c r="J3" i="2"/>
  <c r="I3" i="2"/>
  <c r="H3" i="2"/>
  <c r="G3" i="2"/>
  <c r="F3" i="2"/>
  <c r="E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6" i="4"/>
  <c r="D6" i="4"/>
  <c r="E6" i="4"/>
  <c r="F6" i="4"/>
  <c r="G6" i="4"/>
  <c r="H6" i="4"/>
  <c r="I6" i="4"/>
  <c r="K6" i="4"/>
  <c r="C7" i="4"/>
  <c r="D7" i="4"/>
  <c r="E7" i="4"/>
  <c r="F7" i="4"/>
  <c r="G7" i="4"/>
  <c r="H7" i="4"/>
  <c r="I7" i="4"/>
  <c r="K7" i="4"/>
  <c r="B7" i="4"/>
  <c r="B6" i="4"/>
  <c r="AL49" i="4"/>
  <c r="AP47" i="4"/>
  <c r="I25" i="4" s="1"/>
  <c r="T25" i="3" s="1"/>
  <c r="I25" i="3" s="1"/>
  <c r="AR46" i="4"/>
  <c r="K24" i="4" s="1"/>
  <c r="V24" i="3" s="1"/>
  <c r="K24" i="3" s="1"/>
  <c r="AL45" i="4"/>
  <c r="E23" i="4" s="1"/>
  <c r="P23" i="3" s="1"/>
  <c r="E23" i="3" s="1"/>
  <c r="AN44" i="4"/>
  <c r="G22" i="4" s="1"/>
  <c r="R22" i="3" s="1"/>
  <c r="G22" i="3" s="1"/>
  <c r="AP43" i="4"/>
  <c r="I21" i="4" s="1"/>
  <c r="T21" i="3" s="1"/>
  <c r="I21" i="3" s="1"/>
  <c r="AR42" i="4"/>
  <c r="K20" i="4" s="1"/>
  <c r="V20" i="3" s="1"/>
  <c r="K20" i="3" s="1"/>
  <c r="AJ42" i="4"/>
  <c r="C20" i="4" s="1"/>
  <c r="N20" i="3" s="1"/>
  <c r="C20" i="3" s="1"/>
  <c r="AL41" i="4"/>
  <c r="E19" i="4" s="1"/>
  <c r="P19" i="3" s="1"/>
  <c r="E19" i="3" s="1"/>
  <c r="AP39" i="4"/>
  <c r="I17" i="4" s="1"/>
  <c r="T17" i="3" s="1"/>
  <c r="I17" i="3" s="1"/>
  <c r="AR38" i="4"/>
  <c r="K16" i="4" s="1"/>
  <c r="V16" i="3" s="1"/>
  <c r="K16" i="3" s="1"/>
  <c r="AL37" i="4"/>
  <c r="E15" i="4" s="1"/>
  <c r="P15" i="3" s="1"/>
  <c r="E15" i="3" s="1"/>
  <c r="AN36" i="4"/>
  <c r="G14" i="4" s="1"/>
  <c r="R14" i="3" s="1"/>
  <c r="G14" i="3" s="1"/>
  <c r="AP35" i="4"/>
  <c r="I13" i="4" s="1"/>
  <c r="T13" i="3" s="1"/>
  <c r="I13" i="3" s="1"/>
  <c r="AR34" i="4"/>
  <c r="K12" i="4" s="1"/>
  <c r="V12" i="3" s="1"/>
  <c r="K12" i="3" s="1"/>
  <c r="AJ34" i="4"/>
  <c r="C12" i="4" s="1"/>
  <c r="N12" i="3" s="1"/>
  <c r="C12" i="3" s="1"/>
  <c r="AL38" i="4"/>
  <c r="E16" i="4" s="1"/>
  <c r="P16" i="3" s="1"/>
  <c r="E16" i="3" s="1"/>
  <c r="AN35" i="4"/>
  <c r="G13" i="4" s="1"/>
  <c r="R13" i="3" s="1"/>
  <c r="G13" i="3" s="1"/>
  <c r="AP33" i="4"/>
  <c r="I11" i="4" s="1"/>
  <c r="T11" i="3" s="1"/>
  <c r="I11" i="3" s="1"/>
  <c r="AR31" i="4"/>
  <c r="K9" i="4" s="1"/>
  <c r="V9" i="3" s="1"/>
  <c r="K9" i="3" s="1"/>
  <c r="AJ31" i="4"/>
  <c r="C9" i="4" s="1"/>
  <c r="N9" i="3" s="1"/>
  <c r="C9" i="3" s="1"/>
  <c r="M8" i="4" a="1"/>
  <c r="M8" i="4" s="1"/>
  <c r="X8" i="4" s="1"/>
  <c r="AR36" i="4"/>
  <c r="K14" i="4" s="1"/>
  <c r="V14" i="3" s="1"/>
  <c r="K14" i="3" s="1"/>
  <c r="AR44" i="4"/>
  <c r="K22" i="4" s="1"/>
  <c r="V22" i="3" s="1"/>
  <c r="K22" i="3" s="1"/>
  <c r="AP38" i="4"/>
  <c r="I16" i="4" s="1"/>
  <c r="T16" i="3" s="1"/>
  <c r="I16" i="3" s="1"/>
  <c r="AP46" i="4"/>
  <c r="I24" i="4" s="1"/>
  <c r="T24" i="3" s="1"/>
  <c r="I24" i="3" s="1"/>
  <c r="AO31" i="4"/>
  <c r="H9" i="4" s="1"/>
  <c r="S9" i="3" s="1"/>
  <c r="H9" i="3" s="1"/>
  <c r="AO32" i="4"/>
  <c r="H10" i="4" s="1"/>
  <c r="S10" i="3" s="1"/>
  <c r="H10" i="3" s="1"/>
  <c r="AO33" i="4"/>
  <c r="H11" i="4" s="1"/>
  <c r="S11" i="3" s="1"/>
  <c r="H11" i="3" s="1"/>
  <c r="AO34" i="4"/>
  <c r="H12" i="4" s="1"/>
  <c r="S12" i="3" s="1"/>
  <c r="H12" i="3" s="1"/>
  <c r="AO35" i="4"/>
  <c r="H13" i="4" s="1"/>
  <c r="S13" i="3" s="1"/>
  <c r="H13" i="3" s="1"/>
  <c r="AO36" i="4"/>
  <c r="H14" i="4" s="1"/>
  <c r="S14" i="3" s="1"/>
  <c r="H14" i="3" s="1"/>
  <c r="AO37" i="4"/>
  <c r="H15" i="4" s="1"/>
  <c r="S15" i="3" s="1"/>
  <c r="H15" i="3" s="1"/>
  <c r="AO38" i="4"/>
  <c r="H16" i="4" s="1"/>
  <c r="S16" i="3" s="1"/>
  <c r="H16" i="3" s="1"/>
  <c r="AO39" i="4"/>
  <c r="H17" i="4" s="1"/>
  <c r="S17" i="3" s="1"/>
  <c r="H17" i="3" s="1"/>
  <c r="AO40" i="4"/>
  <c r="H18" i="4" s="1"/>
  <c r="S18" i="3" s="1"/>
  <c r="H18" i="3" s="1"/>
  <c r="AO41" i="4"/>
  <c r="H19" i="4" s="1"/>
  <c r="S19" i="3" s="1"/>
  <c r="H19" i="3" s="1"/>
  <c r="AO42" i="4"/>
  <c r="H20" i="4" s="1"/>
  <c r="S20" i="3" s="1"/>
  <c r="H20" i="3" s="1"/>
  <c r="AO43" i="4"/>
  <c r="H21" i="4" s="1"/>
  <c r="S21" i="3" s="1"/>
  <c r="H21" i="3" s="1"/>
  <c r="AO44" i="4"/>
  <c r="H22" i="4" s="1"/>
  <c r="S22" i="3" s="1"/>
  <c r="H22" i="3" s="1"/>
  <c r="AO45" i="4"/>
  <c r="H23" i="4" s="1"/>
  <c r="S23" i="3" s="1"/>
  <c r="H23" i="3" s="1"/>
  <c r="AO46" i="4"/>
  <c r="H24" i="4" s="1"/>
  <c r="S24" i="3" s="1"/>
  <c r="H24" i="3" s="1"/>
  <c r="AO47" i="4"/>
  <c r="H25" i="4" s="1"/>
  <c r="S25" i="3" s="1"/>
  <c r="H25" i="3" s="1"/>
  <c r="AO48" i="4"/>
  <c r="H26" i="4" s="1"/>
  <c r="S26" i="3" s="1"/>
  <c r="H26" i="3" s="1"/>
  <c r="AO49" i="4"/>
  <c r="S27" i="3" s="1"/>
  <c r="H27" i="3" s="1"/>
  <c r="AN32" i="4"/>
  <c r="G10" i="4" s="1"/>
  <c r="R10" i="3" s="1"/>
  <c r="G10" i="3" s="1"/>
  <c r="AN34" i="4"/>
  <c r="G12" i="4" s="1"/>
  <c r="R12" i="3" s="1"/>
  <c r="G12" i="3" s="1"/>
  <c r="AN40" i="4"/>
  <c r="G18" i="4" s="1"/>
  <c r="R18" i="3" s="1"/>
  <c r="G18" i="3" s="1"/>
  <c r="AN42" i="4"/>
  <c r="G20" i="4" s="1"/>
  <c r="R20" i="3" s="1"/>
  <c r="G20" i="3" s="1"/>
  <c r="AN48" i="4"/>
  <c r="G26" i="4" s="1"/>
  <c r="R26" i="3" s="1"/>
  <c r="G26" i="3" s="1"/>
  <c r="AM31" i="4"/>
  <c r="F9" i="4" s="1"/>
  <c r="Q9" i="3" s="1"/>
  <c r="F9" i="3" s="1"/>
  <c r="AM32" i="4"/>
  <c r="F10" i="4" s="1"/>
  <c r="Q10" i="3" s="1"/>
  <c r="F10" i="3" s="1"/>
  <c r="AM33" i="4"/>
  <c r="F11" i="4" s="1"/>
  <c r="Q11" i="3" s="1"/>
  <c r="F11" i="3" s="1"/>
  <c r="AM34" i="4"/>
  <c r="F12" i="4" s="1"/>
  <c r="Q12" i="3" s="1"/>
  <c r="F12" i="3" s="1"/>
  <c r="AM35" i="4"/>
  <c r="F13" i="4" s="1"/>
  <c r="Q13" i="3" s="1"/>
  <c r="F13" i="3" s="1"/>
  <c r="AM36" i="4"/>
  <c r="F14" i="4" s="1"/>
  <c r="Q14" i="3" s="1"/>
  <c r="F14" i="3" s="1"/>
  <c r="AM37" i="4"/>
  <c r="F15" i="4" s="1"/>
  <c r="Q15" i="3" s="1"/>
  <c r="F15" i="3" s="1"/>
  <c r="AM38" i="4"/>
  <c r="F16" i="4" s="1"/>
  <c r="Q16" i="3" s="1"/>
  <c r="F16" i="3" s="1"/>
  <c r="AM39" i="4"/>
  <c r="F17" i="4" s="1"/>
  <c r="Q17" i="3" s="1"/>
  <c r="F17" i="3" s="1"/>
  <c r="AM40" i="4"/>
  <c r="F18" i="4" s="1"/>
  <c r="Q18" i="3" s="1"/>
  <c r="F18" i="3" s="1"/>
  <c r="AM41" i="4"/>
  <c r="F19" i="4" s="1"/>
  <c r="Q19" i="3" s="1"/>
  <c r="F19" i="3" s="1"/>
  <c r="AM42" i="4"/>
  <c r="F20" i="4" s="1"/>
  <c r="Q20" i="3" s="1"/>
  <c r="F20" i="3" s="1"/>
  <c r="AM43" i="4"/>
  <c r="F21" i="4" s="1"/>
  <c r="Q21" i="3" s="1"/>
  <c r="F21" i="3" s="1"/>
  <c r="AM44" i="4"/>
  <c r="F22" i="4" s="1"/>
  <c r="Q22" i="3" s="1"/>
  <c r="F22" i="3" s="1"/>
  <c r="AM45" i="4"/>
  <c r="F23" i="4" s="1"/>
  <c r="Q23" i="3" s="1"/>
  <c r="F23" i="3" s="1"/>
  <c r="AM46" i="4"/>
  <c r="F24" i="4" s="1"/>
  <c r="Q24" i="3" s="1"/>
  <c r="F24" i="3" s="1"/>
  <c r="AM47" i="4"/>
  <c r="F25" i="4" s="1"/>
  <c r="Q25" i="3" s="1"/>
  <c r="F25" i="3" s="1"/>
  <c r="AM48" i="4"/>
  <c r="F26" i="4" s="1"/>
  <c r="Q26" i="3" s="1"/>
  <c r="F26" i="3" s="1"/>
  <c r="AM49" i="4"/>
  <c r="AL34" i="4"/>
  <c r="E12" i="4" s="1"/>
  <c r="P12" i="3" s="1"/>
  <c r="E12" i="3" s="1"/>
  <c r="AL36" i="4"/>
  <c r="E14" i="4" s="1"/>
  <c r="P14" i="3" s="1"/>
  <c r="E14" i="3" s="1"/>
  <c r="AL42" i="4"/>
  <c r="E20" i="4" s="1"/>
  <c r="P20" i="3" s="1"/>
  <c r="E20" i="3" s="1"/>
  <c r="AL44" i="4"/>
  <c r="E22" i="4" s="1"/>
  <c r="P22" i="3" s="1"/>
  <c r="E22" i="3" s="1"/>
  <c r="AK31" i="4"/>
  <c r="D9" i="4" s="1"/>
  <c r="O9" i="3" s="1"/>
  <c r="D9" i="3" s="1"/>
  <c r="AK32" i="4"/>
  <c r="D10" i="4" s="1"/>
  <c r="O10" i="3" s="1"/>
  <c r="D10" i="3" s="1"/>
  <c r="AK33" i="4"/>
  <c r="D11" i="4" s="1"/>
  <c r="O11" i="3" s="1"/>
  <c r="D11" i="3" s="1"/>
  <c r="AK34" i="4"/>
  <c r="D12" i="4" s="1"/>
  <c r="O12" i="3" s="1"/>
  <c r="D12" i="3" s="1"/>
  <c r="AK35" i="4"/>
  <c r="D13" i="4" s="1"/>
  <c r="O13" i="3" s="1"/>
  <c r="D13" i="3" s="1"/>
  <c r="AK36" i="4"/>
  <c r="D14" i="4" s="1"/>
  <c r="O14" i="3" s="1"/>
  <c r="D14" i="3" s="1"/>
  <c r="AK37" i="4"/>
  <c r="D15" i="4" s="1"/>
  <c r="O15" i="3" s="1"/>
  <c r="D15" i="3" s="1"/>
  <c r="AK38" i="4"/>
  <c r="D16" i="4" s="1"/>
  <c r="O16" i="3" s="1"/>
  <c r="D16" i="3" s="1"/>
  <c r="AK39" i="4"/>
  <c r="D17" i="4" s="1"/>
  <c r="O17" i="3" s="1"/>
  <c r="D17" i="3" s="1"/>
  <c r="AK40" i="4"/>
  <c r="D18" i="4" s="1"/>
  <c r="O18" i="3" s="1"/>
  <c r="D18" i="3" s="1"/>
  <c r="AK41" i="4"/>
  <c r="D19" i="4" s="1"/>
  <c r="O19" i="3" s="1"/>
  <c r="D19" i="3" s="1"/>
  <c r="AK42" i="4"/>
  <c r="D20" i="4" s="1"/>
  <c r="O20" i="3" s="1"/>
  <c r="D20" i="3" s="1"/>
  <c r="AK43" i="4"/>
  <c r="D21" i="4" s="1"/>
  <c r="O21" i="3" s="1"/>
  <c r="D21" i="3" s="1"/>
  <c r="AK44" i="4"/>
  <c r="D22" i="4" s="1"/>
  <c r="O22" i="3" s="1"/>
  <c r="D22" i="3" s="1"/>
  <c r="AK45" i="4"/>
  <c r="D23" i="4" s="1"/>
  <c r="O23" i="3" s="1"/>
  <c r="D23" i="3" s="1"/>
  <c r="AK46" i="4"/>
  <c r="D24" i="4" s="1"/>
  <c r="O24" i="3" s="1"/>
  <c r="D24" i="3" s="1"/>
  <c r="AK47" i="4"/>
  <c r="D25" i="4" s="1"/>
  <c r="O25" i="3" s="1"/>
  <c r="D25" i="3" s="1"/>
  <c r="AK48" i="4"/>
  <c r="D26" i="4" s="1"/>
  <c r="O26" i="3" s="1"/>
  <c r="D26" i="3" s="1"/>
  <c r="AK49" i="4"/>
  <c r="O27" i="3" s="1"/>
  <c r="D27" i="3" s="1"/>
  <c r="AJ36" i="4"/>
  <c r="C14" i="4" s="1"/>
  <c r="N14" i="3" s="1"/>
  <c r="C14" i="3" s="1"/>
  <c r="AJ38" i="4"/>
  <c r="C16" i="4" s="1"/>
  <c r="N16" i="3" s="1"/>
  <c r="C16" i="3" s="1"/>
  <c r="AJ44" i="4"/>
  <c r="C22" i="4" s="1"/>
  <c r="N22" i="3" s="1"/>
  <c r="C22" i="3" s="1"/>
  <c r="AJ46" i="4"/>
  <c r="C24" i="4" s="1"/>
  <c r="N24" i="3" s="1"/>
  <c r="C24" i="3" s="1"/>
  <c r="B9" i="4"/>
  <c r="M9" i="3" s="1"/>
  <c r="B9" i="3" s="1"/>
  <c r="AI32" i="4"/>
  <c r="B10" i="4" s="1"/>
  <c r="M10" i="3" s="1"/>
  <c r="B10" i="3" s="1"/>
  <c r="AI33" i="4"/>
  <c r="B11" i="4" s="1"/>
  <c r="M11" i="3" s="1"/>
  <c r="B11" i="3" s="1"/>
  <c r="AI34" i="4"/>
  <c r="B12" i="4" s="1"/>
  <c r="M12" i="3" s="1"/>
  <c r="B12" i="3" s="1"/>
  <c r="AI35" i="4"/>
  <c r="B13" i="4" s="1"/>
  <c r="M13" i="3" s="1"/>
  <c r="B13" i="3" s="1"/>
  <c r="AI36" i="4"/>
  <c r="B14" i="4" s="1"/>
  <c r="M14" i="3" s="1"/>
  <c r="B14" i="3" s="1"/>
  <c r="AI37" i="4"/>
  <c r="B15" i="4" s="1"/>
  <c r="M15" i="3" s="1"/>
  <c r="B15" i="3" s="1"/>
  <c r="AI38" i="4"/>
  <c r="B16" i="4" s="1"/>
  <c r="M16" i="3" s="1"/>
  <c r="B16" i="3" s="1"/>
  <c r="AI39" i="4"/>
  <c r="B17" i="4" s="1"/>
  <c r="M17" i="3" s="1"/>
  <c r="B17" i="3" s="1"/>
  <c r="AI40" i="4"/>
  <c r="B18" i="4" s="1"/>
  <c r="M18" i="3" s="1"/>
  <c r="B18" i="3" s="1"/>
  <c r="AI41" i="4"/>
  <c r="B19" i="4" s="1"/>
  <c r="M19" i="3" s="1"/>
  <c r="B19" i="3" s="1"/>
  <c r="AI42" i="4"/>
  <c r="B20" i="4" s="1"/>
  <c r="M20" i="3" s="1"/>
  <c r="B20" i="3" s="1"/>
  <c r="AI43" i="4"/>
  <c r="B21" i="4" s="1"/>
  <c r="M21" i="3" s="1"/>
  <c r="B21" i="3" s="1"/>
  <c r="AI44" i="4"/>
  <c r="B22" i="4" s="1"/>
  <c r="M22" i="3" s="1"/>
  <c r="B22" i="3" s="1"/>
  <c r="AI45" i="4"/>
  <c r="B23" i="4" s="1"/>
  <c r="M23" i="3" s="1"/>
  <c r="B23" i="3" s="1"/>
  <c r="AI46" i="4"/>
  <c r="B24" i="4" s="1"/>
  <c r="M24" i="3" s="1"/>
  <c r="B24" i="3" s="1"/>
  <c r="AI47" i="4"/>
  <c r="B25" i="4" s="1"/>
  <c r="M25" i="3" s="1"/>
  <c r="B25" i="3" s="1"/>
  <c r="AI48" i="4"/>
  <c r="B26" i="4" s="1"/>
  <c r="M26" i="3" s="1"/>
  <c r="B26" i="3" s="1"/>
  <c r="AI49" i="4"/>
  <c r="M27" i="3" s="1"/>
  <c r="B27" i="3" s="1"/>
  <c r="AO30" i="4"/>
  <c r="H8" i="4" s="1"/>
  <c r="S8" i="3" s="1"/>
  <c r="H8" i="3" s="1"/>
  <c r="AM30" i="4"/>
  <c r="F8" i="4" s="1"/>
  <c r="Q8" i="3" s="1"/>
  <c r="F8" i="3" s="1"/>
  <c r="AK30" i="4"/>
  <c r="D8" i="4" s="1"/>
  <c r="O8" i="3" s="1"/>
  <c r="D8" i="3" s="1"/>
  <c r="B8" i="4"/>
  <c r="M8" i="3" s="1"/>
  <c r="B8" i="3" s="1"/>
  <c r="J5" i="4"/>
  <c r="J4" i="4"/>
  <c r="J3" i="4"/>
  <c r="AQ31" i="4" s="1"/>
  <c r="J9" i="4" s="1"/>
  <c r="U9" i="3" s="1"/>
  <c r="J9" i="3" s="1"/>
  <c r="E27" i="4" l="1"/>
  <c r="P27" i="3" s="1"/>
  <c r="E27" i="3" s="1"/>
  <c r="F27" i="4"/>
  <c r="Q27" i="3" s="1"/>
  <c r="F27" i="3" s="1"/>
  <c r="AQ46" i="4"/>
  <c r="J24" i="4" s="1"/>
  <c r="U24" i="3" s="1"/>
  <c r="J24" i="3" s="1"/>
  <c r="J6" i="4"/>
  <c r="J7" i="4"/>
  <c r="AQ38" i="4"/>
  <c r="J16" i="4" s="1"/>
  <c r="U16" i="3" s="1"/>
  <c r="J16" i="3" s="1"/>
  <c r="AQ30" i="4"/>
  <c r="J8" i="4" s="1"/>
  <c r="U8" i="3" s="1"/>
  <c r="J8" i="3" s="1"/>
  <c r="AQ45" i="4"/>
  <c r="J23" i="4" s="1"/>
  <c r="U23" i="3" s="1"/>
  <c r="J23" i="3" s="1"/>
  <c r="AQ37" i="4"/>
  <c r="J15" i="4" s="1"/>
  <c r="U15" i="3" s="1"/>
  <c r="J15" i="3" s="1"/>
  <c r="AQ43" i="4"/>
  <c r="J21" i="4" s="1"/>
  <c r="U21" i="3" s="1"/>
  <c r="J21" i="3" s="1"/>
  <c r="AQ35" i="4"/>
  <c r="J13" i="4" s="1"/>
  <c r="U13" i="3" s="1"/>
  <c r="J13" i="3" s="1"/>
  <c r="AQ36" i="4"/>
  <c r="J14" i="4" s="1"/>
  <c r="U14" i="3" s="1"/>
  <c r="J14" i="3" s="1"/>
  <c r="AQ42" i="4"/>
  <c r="J20" i="4" s="1"/>
  <c r="U20" i="3" s="1"/>
  <c r="J20" i="3" s="1"/>
  <c r="AQ34" i="4"/>
  <c r="J12" i="4" s="1"/>
  <c r="U12" i="3" s="1"/>
  <c r="J12" i="3" s="1"/>
  <c r="AQ44" i="4"/>
  <c r="J22" i="4" s="1"/>
  <c r="U22" i="3" s="1"/>
  <c r="J22" i="3" s="1"/>
  <c r="AQ49" i="4"/>
  <c r="U27" i="3" s="1"/>
  <c r="J27" i="3" s="1"/>
  <c r="AQ41" i="4"/>
  <c r="J19" i="4" s="1"/>
  <c r="U19" i="3" s="1"/>
  <c r="J19" i="3" s="1"/>
  <c r="AQ33" i="4"/>
  <c r="J11" i="4" s="1"/>
  <c r="U11" i="3" s="1"/>
  <c r="J11" i="3" s="1"/>
  <c r="AQ48" i="4"/>
  <c r="J26" i="4" s="1"/>
  <c r="U26" i="3" s="1"/>
  <c r="J26" i="3" s="1"/>
  <c r="AQ40" i="4"/>
  <c r="J18" i="4" s="1"/>
  <c r="U18" i="3" s="1"/>
  <c r="J18" i="3" s="1"/>
  <c r="AQ32" i="4"/>
  <c r="J10" i="4" s="1"/>
  <c r="U10" i="3" s="1"/>
  <c r="J10" i="3" s="1"/>
  <c r="AQ47" i="4"/>
  <c r="J25" i="4" s="1"/>
  <c r="U25" i="3" s="1"/>
  <c r="J25" i="3" s="1"/>
  <c r="AQ39" i="4"/>
  <c r="J17" i="4" s="1"/>
  <c r="U17" i="3" s="1"/>
  <c r="J17" i="3" s="1"/>
  <c r="AP48" i="4"/>
  <c r="I26" i="4" s="1"/>
  <c r="T26" i="3" s="1"/>
  <c r="I26" i="3" s="1"/>
  <c r="AP40" i="4"/>
  <c r="I18" i="4" s="1"/>
  <c r="T18" i="3" s="1"/>
  <c r="I18" i="3" s="1"/>
  <c r="AP32" i="4"/>
  <c r="I10" i="4" s="1"/>
  <c r="T10" i="3" s="1"/>
  <c r="I10" i="3" s="1"/>
  <c r="AJ30" i="4"/>
  <c r="C8" i="4" s="1"/>
  <c r="N8" i="3" s="1"/>
  <c r="C8" i="3" s="1"/>
  <c r="AR30" i="4"/>
  <c r="K8" i="4" s="1"/>
  <c r="V8" i="3" s="1"/>
  <c r="K8" i="3" s="1"/>
  <c r="AJ45" i="4"/>
  <c r="C23" i="4" s="1"/>
  <c r="N23" i="3" s="1"/>
  <c r="C23" i="3" s="1"/>
  <c r="AJ37" i="4"/>
  <c r="C15" i="4" s="1"/>
  <c r="N15" i="3" s="1"/>
  <c r="C15" i="3" s="1"/>
  <c r="AL43" i="4"/>
  <c r="E21" i="4" s="1"/>
  <c r="P21" i="3" s="1"/>
  <c r="E21" i="3" s="1"/>
  <c r="AL35" i="4"/>
  <c r="E13" i="4" s="1"/>
  <c r="P13" i="3" s="1"/>
  <c r="E13" i="3" s="1"/>
  <c r="AN49" i="4"/>
  <c r="R27" i="3" s="1"/>
  <c r="G27" i="3" s="1"/>
  <c r="AN41" i="4"/>
  <c r="G19" i="4" s="1"/>
  <c r="R19" i="3" s="1"/>
  <c r="G19" i="3" s="1"/>
  <c r="AN33" i="4"/>
  <c r="G11" i="4" s="1"/>
  <c r="R11" i="3" s="1"/>
  <c r="G11" i="3" s="1"/>
  <c r="AP31" i="4"/>
  <c r="I9" i="4" s="1"/>
  <c r="T9" i="3" s="1"/>
  <c r="I9" i="3" s="1"/>
  <c r="AR45" i="4"/>
  <c r="K23" i="4" s="1"/>
  <c r="V23" i="3" s="1"/>
  <c r="K23" i="3" s="1"/>
  <c r="AR37" i="4"/>
  <c r="K15" i="4" s="1"/>
  <c r="V15" i="3" s="1"/>
  <c r="K15" i="3" s="1"/>
  <c r="AL30" i="4"/>
  <c r="E8" i="4" s="1"/>
  <c r="P8" i="3" s="1"/>
  <c r="E8" i="3" s="1"/>
  <c r="AJ43" i="4"/>
  <c r="C21" i="4" s="1"/>
  <c r="N21" i="3" s="1"/>
  <c r="C21" i="3" s="1"/>
  <c r="AJ35" i="4"/>
  <c r="C13" i="4" s="1"/>
  <c r="N13" i="3" s="1"/>
  <c r="C13" i="3" s="1"/>
  <c r="AL33" i="4"/>
  <c r="E11" i="4" s="1"/>
  <c r="P11" i="3" s="1"/>
  <c r="E11" i="3" s="1"/>
  <c r="AN47" i="4"/>
  <c r="G25" i="4" s="1"/>
  <c r="R25" i="3" s="1"/>
  <c r="G25" i="3" s="1"/>
  <c r="AN39" i="4"/>
  <c r="G17" i="4" s="1"/>
  <c r="R17" i="3" s="1"/>
  <c r="G17" i="3" s="1"/>
  <c r="AN31" i="4"/>
  <c r="G9" i="4" s="1"/>
  <c r="R9" i="3" s="1"/>
  <c r="G9" i="3" s="1"/>
  <c r="AP45" i="4"/>
  <c r="I23" i="4" s="1"/>
  <c r="T23" i="3" s="1"/>
  <c r="I23" i="3" s="1"/>
  <c r="AP37" i="4"/>
  <c r="I15" i="4" s="1"/>
  <c r="T15" i="3" s="1"/>
  <c r="I15" i="3" s="1"/>
  <c r="AR43" i="4"/>
  <c r="K21" i="4" s="1"/>
  <c r="V21" i="3" s="1"/>
  <c r="K21" i="3" s="1"/>
  <c r="AR35" i="4"/>
  <c r="K13" i="4" s="1"/>
  <c r="V13" i="3" s="1"/>
  <c r="K13" i="3" s="1"/>
  <c r="AL48" i="4"/>
  <c r="E26" i="4" s="1"/>
  <c r="P26" i="3" s="1"/>
  <c r="E26" i="3" s="1"/>
  <c r="AL40" i="4"/>
  <c r="E18" i="4" s="1"/>
  <c r="P18" i="3" s="1"/>
  <c r="E18" i="3" s="1"/>
  <c r="AL32" i="4"/>
  <c r="E10" i="4" s="1"/>
  <c r="P10" i="3" s="1"/>
  <c r="E10" i="3" s="1"/>
  <c r="AN46" i="4"/>
  <c r="G24" i="4" s="1"/>
  <c r="R24" i="3" s="1"/>
  <c r="G24" i="3" s="1"/>
  <c r="AN38" i="4"/>
  <c r="G16" i="4" s="1"/>
  <c r="R16" i="3" s="1"/>
  <c r="G16" i="3" s="1"/>
  <c r="AP44" i="4"/>
  <c r="I22" i="4" s="1"/>
  <c r="T22" i="3" s="1"/>
  <c r="I22" i="3" s="1"/>
  <c r="AP36" i="4"/>
  <c r="I14" i="4" s="1"/>
  <c r="T14" i="3" s="1"/>
  <c r="I14" i="3" s="1"/>
  <c r="AN30" i="4"/>
  <c r="G8" i="4" s="1"/>
  <c r="R8" i="3" s="1"/>
  <c r="G8" i="3" s="1"/>
  <c r="AJ49" i="4"/>
  <c r="N27" i="3" s="1"/>
  <c r="C27" i="3" s="1"/>
  <c r="AJ41" i="4"/>
  <c r="C19" i="4" s="1"/>
  <c r="N19" i="3" s="1"/>
  <c r="C19" i="3" s="1"/>
  <c r="AJ33" i="4"/>
  <c r="C11" i="4" s="1"/>
  <c r="N11" i="3" s="1"/>
  <c r="C11" i="3" s="1"/>
  <c r="AL47" i="4"/>
  <c r="E25" i="4" s="1"/>
  <c r="P25" i="3" s="1"/>
  <c r="E25" i="3" s="1"/>
  <c r="AL39" i="4"/>
  <c r="E17" i="4" s="1"/>
  <c r="P17" i="3" s="1"/>
  <c r="E17" i="3" s="1"/>
  <c r="AL31" i="4"/>
  <c r="E9" i="4" s="1"/>
  <c r="P9" i="3" s="1"/>
  <c r="E9" i="3" s="1"/>
  <c r="AN45" i="4"/>
  <c r="G23" i="4" s="1"/>
  <c r="R23" i="3" s="1"/>
  <c r="G23" i="3" s="1"/>
  <c r="AN37" i="4"/>
  <c r="G15" i="4" s="1"/>
  <c r="R15" i="3" s="1"/>
  <c r="G15" i="3" s="1"/>
  <c r="AR49" i="4"/>
  <c r="V27" i="3" s="1"/>
  <c r="K27" i="3" s="1"/>
  <c r="AR41" i="4"/>
  <c r="K19" i="4" s="1"/>
  <c r="V19" i="3" s="1"/>
  <c r="K19" i="3" s="1"/>
  <c r="AR33" i="4"/>
  <c r="K11" i="4" s="1"/>
  <c r="V11" i="3" s="1"/>
  <c r="K11" i="3" s="1"/>
  <c r="AJ48" i="4"/>
  <c r="C26" i="4" s="1"/>
  <c r="N26" i="3" s="1"/>
  <c r="C26" i="3" s="1"/>
  <c r="AJ40" i="4"/>
  <c r="C18" i="4" s="1"/>
  <c r="N18" i="3" s="1"/>
  <c r="C18" i="3" s="1"/>
  <c r="AJ32" i="4"/>
  <c r="C10" i="4" s="1"/>
  <c r="N10" i="3" s="1"/>
  <c r="C10" i="3" s="1"/>
  <c r="AL46" i="4"/>
  <c r="E24" i="4" s="1"/>
  <c r="P24" i="3" s="1"/>
  <c r="E24" i="3" s="1"/>
  <c r="AP42" i="4"/>
  <c r="I20" i="4" s="1"/>
  <c r="T20" i="3" s="1"/>
  <c r="I20" i="3" s="1"/>
  <c r="AP34" i="4"/>
  <c r="I12" i="4" s="1"/>
  <c r="T12" i="3" s="1"/>
  <c r="I12" i="3" s="1"/>
  <c r="AR48" i="4"/>
  <c r="K26" i="4" s="1"/>
  <c r="V26" i="3" s="1"/>
  <c r="K26" i="3" s="1"/>
  <c r="AR40" i="4"/>
  <c r="K18" i="4" s="1"/>
  <c r="V18" i="3" s="1"/>
  <c r="K18" i="3" s="1"/>
  <c r="AR32" i="4"/>
  <c r="K10" i="4" s="1"/>
  <c r="V10" i="3" s="1"/>
  <c r="K10" i="3" s="1"/>
  <c r="AP30" i="4"/>
  <c r="I8" i="4" s="1"/>
  <c r="T8" i="3" s="1"/>
  <c r="I8" i="3" s="1"/>
  <c r="AJ47" i="4"/>
  <c r="C25" i="4" s="1"/>
  <c r="N25" i="3" s="1"/>
  <c r="C25" i="3" s="1"/>
  <c r="AJ39" i="4"/>
  <c r="C17" i="4" s="1"/>
  <c r="N17" i="3" s="1"/>
  <c r="C17" i="3" s="1"/>
  <c r="AN43" i="4"/>
  <c r="G21" i="4" s="1"/>
  <c r="R21" i="3" s="1"/>
  <c r="G21" i="3" s="1"/>
  <c r="AP49" i="4"/>
  <c r="T27" i="3" s="1"/>
  <c r="I27" i="3" s="1"/>
  <c r="AP41" i="4"/>
  <c r="I19" i="4" s="1"/>
  <c r="T19" i="3" s="1"/>
  <c r="I19" i="3" s="1"/>
  <c r="AR47" i="4"/>
  <c r="K25" i="4" s="1"/>
  <c r="V25" i="3" s="1"/>
  <c r="K25" i="3" s="1"/>
  <c r="AR39" i="4"/>
  <c r="K17" i="4" s="1"/>
  <c r="V17" i="3" s="1"/>
  <c r="K17" i="3" s="1"/>
  <c r="AA16" i="4"/>
  <c r="Z9" i="4"/>
  <c r="AE27" i="4"/>
  <c r="AG25" i="4"/>
  <c r="Z24" i="4"/>
  <c r="AB22" i="4"/>
  <c r="AD20" i="4"/>
  <c r="AF18" i="4"/>
  <c r="Y17" i="4"/>
  <c r="Z16" i="4"/>
  <c r="AB14" i="4"/>
  <c r="AD12" i="4"/>
  <c r="Y9" i="4"/>
  <c r="AC27" i="4"/>
  <c r="AD26" i="4"/>
  <c r="AE25" i="4"/>
  <c r="AF24" i="4"/>
  <c r="AG23" i="4"/>
  <c r="Y23" i="4"/>
  <c r="Z22" i="4"/>
  <c r="AA21" i="4"/>
  <c r="AB20" i="4"/>
  <c r="AC19" i="4"/>
  <c r="AD18" i="4"/>
  <c r="AE17" i="4"/>
  <c r="AF16" i="4"/>
  <c r="AG15" i="4"/>
  <c r="Y15" i="4"/>
  <c r="Z14" i="4"/>
  <c r="AA13" i="4"/>
  <c r="AB12" i="4"/>
  <c r="AC11" i="4"/>
  <c r="AD10" i="4"/>
  <c r="AE9" i="4"/>
  <c r="AF8" i="4"/>
  <c r="Z25" i="4"/>
  <c r="AE20" i="4"/>
  <c r="Z17" i="4"/>
  <c r="AD13" i="4"/>
  <c r="AF11" i="4"/>
  <c r="AC26" i="4"/>
  <c r="AE24" i="4"/>
  <c r="AG22" i="4"/>
  <c r="Z21" i="4"/>
  <c r="AB19" i="4"/>
  <c r="AD17" i="4"/>
  <c r="AG14" i="4"/>
  <c r="Z13" i="4"/>
  <c r="AB11" i="4"/>
  <c r="AC10" i="4"/>
  <c r="AE8" i="4"/>
  <c r="AA27" i="4"/>
  <c r="AB26" i="4"/>
  <c r="AC25" i="4"/>
  <c r="AD24" i="4"/>
  <c r="AE23" i="4"/>
  <c r="AF22" i="4"/>
  <c r="AG21" i="4"/>
  <c r="Y21" i="4"/>
  <c r="Z20" i="4"/>
  <c r="AA19" i="4"/>
  <c r="AB18" i="4"/>
  <c r="AC17" i="4"/>
  <c r="AD16" i="4"/>
  <c r="AE15" i="4"/>
  <c r="AF14" i="4"/>
  <c r="AG13" i="4"/>
  <c r="Y13" i="4"/>
  <c r="Z12" i="4"/>
  <c r="AA11" i="4"/>
  <c r="AB10" i="4"/>
  <c r="AC9" i="4"/>
  <c r="AD8" i="4"/>
  <c r="Z27" i="4"/>
  <c r="AA26" i="4"/>
  <c r="AB25" i="4"/>
  <c r="AC24" i="4"/>
  <c r="AD23" i="4"/>
  <c r="AE22" i="4"/>
  <c r="AF21" i="4"/>
  <c r="AG20" i="4"/>
  <c r="Y20" i="4"/>
  <c r="Z19" i="4"/>
  <c r="AA18" i="4"/>
  <c r="AB17" i="4"/>
  <c r="AC16" i="4"/>
  <c r="AD15" i="4"/>
  <c r="AE14" i="4"/>
  <c r="AF13" i="4"/>
  <c r="AG12" i="4"/>
  <c r="Y12" i="4"/>
  <c r="Z11" i="4"/>
  <c r="AA10" i="4"/>
  <c r="AB9" i="4"/>
  <c r="AC8" i="4"/>
  <c r="AA24" i="4"/>
  <c r="AF19" i="4"/>
  <c r="AB15" i="4"/>
  <c r="AG10" i="4"/>
  <c r="AB27" i="4"/>
  <c r="AD25" i="4"/>
  <c r="AF23" i="4"/>
  <c r="Y22" i="4"/>
  <c r="AA20" i="4"/>
  <c r="AC18" i="4"/>
  <c r="AE16" i="4"/>
  <c r="AF15" i="4"/>
  <c r="Y14" i="4"/>
  <c r="AA12" i="4"/>
  <c r="AD9" i="4"/>
  <c r="AG27" i="4"/>
  <c r="Y27" i="4"/>
  <c r="Z26" i="4"/>
  <c r="AA25" i="4"/>
  <c r="AB24" i="4"/>
  <c r="AC23" i="4"/>
  <c r="AD22" i="4"/>
  <c r="AE21" i="4"/>
  <c r="AF20" i="4"/>
  <c r="AG19" i="4"/>
  <c r="Y19" i="4"/>
  <c r="Z18" i="4"/>
  <c r="AA17" i="4"/>
  <c r="AB16" i="4"/>
  <c r="AC15" i="4"/>
  <c r="AD14" i="4"/>
  <c r="AE13" i="4"/>
  <c r="AF12" i="4"/>
  <c r="AG11" i="4"/>
  <c r="Y11" i="4"/>
  <c r="Z10" i="4"/>
  <c r="AA9" i="4"/>
  <c r="AB8" i="4"/>
  <c r="Y26" i="4"/>
  <c r="AG18" i="4"/>
  <c r="AE12" i="4"/>
  <c r="AA8" i="4"/>
  <c r="AG26" i="4"/>
  <c r="AC22" i="4"/>
  <c r="AG9" i="4"/>
  <c r="AF27" i="4"/>
  <c r="AB23" i="4"/>
  <c r="AD21" i="4"/>
  <c r="Y18" i="4"/>
  <c r="AC14" i="4"/>
  <c r="Y10" i="4"/>
  <c r="AF26" i="4"/>
  <c r="Y25" i="4"/>
  <c r="AA23" i="4"/>
  <c r="AC21" i="4"/>
  <c r="AE19" i="4"/>
  <c r="AG17" i="4"/>
  <c r="AA15" i="4"/>
  <c r="AC13" i="4"/>
  <c r="AE11" i="4"/>
  <c r="AF10" i="4"/>
  <c r="Z8" i="4"/>
  <c r="AD27" i="4"/>
  <c r="AE26" i="4"/>
  <c r="AF25" i="4"/>
  <c r="AG24" i="4"/>
  <c r="Y24" i="4"/>
  <c r="Z23" i="4"/>
  <c r="AA22" i="4"/>
  <c r="AB21" i="4"/>
  <c r="AC20" i="4"/>
  <c r="AD19" i="4"/>
  <c r="AE18" i="4"/>
  <c r="AF17" i="4"/>
  <c r="AG16" i="4"/>
  <c r="Y16" i="4"/>
  <c r="Z15" i="4"/>
  <c r="AA14" i="4"/>
  <c r="AB13" i="4"/>
  <c r="AC12" i="4"/>
  <c r="AD11" i="4"/>
  <c r="AE10" i="4"/>
  <c r="AF9" i="4"/>
  <c r="AG8" i="4"/>
  <c r="Y8" i="4"/>
  <c r="X16" i="4"/>
  <c r="X24" i="4"/>
  <c r="X15" i="4"/>
  <c r="X22" i="4"/>
  <c r="X14" i="4"/>
  <c r="X23" i="4"/>
  <c r="X21" i="4"/>
  <c r="X13" i="4"/>
  <c r="X12" i="4"/>
  <c r="X20" i="4"/>
  <c r="X27" i="4"/>
  <c r="X19" i="4"/>
  <c r="X11" i="4"/>
  <c r="X26" i="4"/>
  <c r="X10" i="4"/>
  <c r="X18" i="4"/>
  <c r="X25" i="4"/>
  <c r="X17" i="4"/>
  <c r="X9" i="4"/>
  <c r="G6" i="1" l="1"/>
  <c r="G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tc={1ECA7AC3-C510-4B7F-9051-28F078172BEF}</author>
    <author>tc={3D4C7D5D-3688-438C-8034-D29609EC8999}</author>
  </authors>
  <commentList>
    <comment ref="A18" authorId="0" shapeId="0" xr:uid="{1ECA7AC3-C510-4B7F-9051-28F078172BEF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Liquid and solid slurries</t>
      </text>
    </comment>
    <comment ref="A19" authorId="1" shapeId="0" xr:uid="{3D4C7D5D-3688-438C-8034-D29609EC8999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Slurries + industrial byproducts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<sst xmlns="http://schemas.openxmlformats.org/spreadsheetml/2006/main" count="358" uniqueCount="141">
  <si>
    <t>a</t>
  </si>
  <si>
    <t>b</t>
  </si>
  <si>
    <t>c</t>
  </si>
  <si>
    <t>d</t>
  </si>
  <si>
    <t>e</t>
  </si>
  <si>
    <t>f</t>
  </si>
  <si>
    <t>g</t>
  </si>
  <si>
    <t>h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</si>
  <si>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</si>
  <si>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</si>
  <si>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</si>
  <si>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</si>
  <si>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</si>
  <si>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</si>
  <si>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</si>
  <si>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</si>
  <si>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</si>
  <si>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</si>
  <si>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</si>
  <si>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z</t>
  </si>
  <si>
    <t>Barley silage</t>
  </si>
  <si>
    <t>Chicken dung</t>
  </si>
  <si>
    <t>Cow dung</t>
  </si>
  <si>
    <t>Cow slurry</t>
  </si>
  <si>
    <t>Maize silage</t>
  </si>
  <si>
    <t>Pig slurry</t>
  </si>
  <si>
    <t>Sorghum silage</t>
  </si>
  <si>
    <t>Tomato peels</t>
  </si>
  <si>
    <t>Triticale silage</t>
  </si>
  <si>
    <t>Wheat byproducts</t>
  </si>
  <si>
    <t>V</t>
  </si>
  <si>
    <t>m3</t>
  </si>
  <si>
    <t>N</t>
  </si>
  <si>
    <t>days</t>
  </si>
  <si>
    <t>HRT</t>
  </si>
  <si>
    <t>Limits on the diet for incentive</t>
  </si>
  <si>
    <t>Limit</t>
  </si>
  <si>
    <t>Direction</t>
  </si>
  <si>
    <t>Slurries</t>
  </si>
  <si>
    <t>&gt;</t>
  </si>
  <si>
    <t>By-product 1A</t>
  </si>
  <si>
    <t>Cultures table 1B</t>
  </si>
  <si>
    <t>&lt;</t>
  </si>
  <si>
    <t>2nd turn culture</t>
  </si>
  <si>
    <t>Slurries and stocks</t>
  </si>
  <si>
    <t>Wastes</t>
  </si>
  <si>
    <t>Delicate cultures</t>
  </si>
  <si>
    <t>https://www.monvisoenergia.it/incentivi-fer/</t>
  </si>
  <si>
    <t>rho</t>
  </si>
  <si>
    <t>TS</t>
  </si>
  <si>
    <t>VS</t>
  </si>
  <si>
    <t>BMPinf</t>
  </si>
  <si>
    <t>Fixed_tariff</t>
  </si>
  <si>
    <t>TKN</t>
  </si>
  <si>
    <t>C/N</t>
  </si>
  <si>
    <t>TAN</t>
  </si>
  <si>
    <t>TAC</t>
  </si>
  <si>
    <t>LI</t>
  </si>
  <si>
    <t>TVFA</t>
  </si>
  <si>
    <t>COD/VS</t>
  </si>
  <si>
    <t>k_hyd_r</t>
  </si>
  <si>
    <t>k_hyd_s</t>
  </si>
  <si>
    <t>BMPinf_r</t>
  </si>
  <si>
    <t>BMPinf_s</t>
  </si>
  <si>
    <t>TS Max</t>
  </si>
  <si>
    <t>TS Min</t>
  </si>
  <si>
    <t>VS Max</t>
  </si>
  <si>
    <t>VS Min</t>
  </si>
  <si>
    <t>BMPinf Max</t>
  </si>
  <si>
    <t>BMPinf Min</t>
  </si>
  <si>
    <t>TS Max/Mean</t>
  </si>
  <si>
    <t>TS Min/Mean</t>
  </si>
  <si>
    <t>VS Max/Mean</t>
  </si>
  <si>
    <t>VS Min/Mean</t>
  </si>
  <si>
    <t>BMP Max/Mean</t>
  </si>
  <si>
    <t>BMP Min/Mean</t>
  </si>
  <si>
    <t>Type</t>
  </si>
  <si>
    <t>kgFM/m3FM</t>
  </si>
  <si>
    <t>kgTS/tonFM</t>
  </si>
  <si>
    <t>kgVS/tonFM</t>
  </si>
  <si>
    <t>Nm3CH4/tonVS</t>
  </si>
  <si>
    <t>€/20tonFM</t>
  </si>
  <si>
    <t>kgN/tonFM</t>
  </si>
  <si>
    <t>molC/molN</t>
  </si>
  <si>
    <t>kgCaCO3/tonFM</t>
  </si>
  <si>
    <t>kgLI/kgFM</t>
  </si>
  <si>
    <t>kgHAc/kgFM</t>
  </si>
  <si>
    <t>kgCOD/kgVS</t>
  </si>
  <si>
    <t>d-1</t>
  </si>
  <si>
    <t>P</t>
  </si>
  <si>
    <t>S</t>
  </si>
  <si>
    <t>P2</t>
  </si>
  <si>
    <t>B</t>
  </si>
  <si>
    <t>Leg. Cluster</t>
  </si>
  <si>
    <t>-</t>
  </si>
  <si>
    <t>kgTS</t>
  </si>
  <si>
    <t>kgVS</t>
  </si>
  <si>
    <t>Nm3CH4</t>
  </si>
  <si>
    <t>€</t>
  </si>
  <si>
    <t>kgN</t>
  </si>
  <si>
    <t>molC</t>
  </si>
  <si>
    <t>kgCaCO3</t>
  </si>
  <si>
    <t>kgLI</t>
  </si>
  <si>
    <t>kgHAc</t>
  </si>
  <si>
    <t>kgCOD</t>
  </si>
  <si>
    <t>tonF-1</t>
  </si>
  <si>
    <t>tonFM-1</t>
  </si>
  <si>
    <t>tonVS-1</t>
  </si>
  <si>
    <t>20tonFM-1</t>
  </si>
  <si>
    <t>molN-1</t>
  </si>
  <si>
    <t>kgVS-1</t>
  </si>
  <si>
    <t>Source of uncertainty</t>
  </si>
  <si>
    <t>Random variable</t>
  </si>
  <si>
    <t>Uncertanty Set</t>
  </si>
  <si>
    <t>Set size parameter</t>
  </si>
  <si>
    <t>Availability</t>
  </si>
  <si>
    <t>Z</t>
  </si>
  <si>
    <t>Prices</t>
  </si>
  <si>
    <t>w</t>
  </si>
  <si>
    <t>W</t>
  </si>
  <si>
    <t>L</t>
  </si>
  <si>
    <t>Sum fixed tariff to 'distance tariff' (eur/km=1) and divide by 20 tons (nominal size of transportation truck)</t>
  </si>
  <si>
    <t>km</t>
  </si>
  <si>
    <t>€/tonFM</t>
  </si>
  <si>
    <t>To generate different realizations (to further design the uncertainty set), each element of the matrix shall be substituted with a random value taken from the distribution that has mean as the value now present in the cell and max and min computed from the cumulated max/mean and min/mean ratios)</t>
  </si>
  <si>
    <t>Generate random  matrix of (0,1). Fix 2 producers of 'tomato peels' and 3 producers of 'wheat byproducts'. Fix 'z' as 'me'. SHALL IT BE SCALED TO TONFM/DAY??</t>
  </si>
  <si>
    <t>Where there is 1, create random number</t>
  </si>
  <si>
    <t>tonFM</t>
  </si>
  <si>
    <t>Mean</t>
  </si>
  <si>
    <t>Max</t>
  </si>
  <si>
    <t>Min</t>
  </si>
  <si>
    <t>Max/Mean</t>
  </si>
  <si>
    <t>Min/Mean</t>
  </si>
  <si>
    <t>Save one distribution of seller sizes. Set 'tomato peels' and 'wheat byproduct' to 0 for all rows but the fixed sellers of those items. Need to redistribute if 'myplant' values are set to 0!!</t>
  </si>
  <si>
    <t>Normalize: the sum of every item shall be equal to the mean of the availability of that item</t>
  </si>
  <si>
    <t>Take same random integer matrix froim 'Availability' sheet.</t>
  </si>
  <si>
    <t>VaR Probability</t>
  </si>
  <si>
    <t>Gamma_availability</t>
  </si>
  <si>
    <t>Gamma_price</t>
  </si>
  <si>
    <t>Gamma_BMP</t>
  </si>
  <si>
    <t>Use this only for checking purposes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</si>
</sst>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Var(--jp-code-font-family)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6">
    <xf numFmtId="0" fontId="0" fillId="0" borderId="0" xfId="0"/>
    <xf numFmtId="2" fontId="0" fillId="0" borderId="0" xfId="0" applyNumberFormat="1"/>
    <xf numFmtId="2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164" fontId="0" fillId="0" borderId="0" xfId="0" applyNumberFormat="1"/>
    <xf numFmtId="1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2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left"/>
    </xf>
    <xf numFmtId="1" fontId="0" fillId="0" borderId="0" xfId="0" applyNumberFormat="1" applyAlignment="1">
      <alignment horizontal="right"/>
    </xf>
    <xf numFmtId="1" fontId="3" fillId="0" borderId="0" xfId="0" applyNumberFormat="1" applyFont="1"/>
    <xf numFmtId="0" fontId="1" fillId="0" borderId="0" xfId="0" applyFont="1" applyAlignment="1">
      <alignment horizontal="left"/>
    </xf>
    <xf numFmtId="0" fontId="1" fillId="0" borderId="9" xfId="0" applyFont="1" applyBorder="1"/>
    <xf numFmtId="0" fontId="1" fillId="0" borderId="9" xfId="0" applyFont="1" applyBorder="1" applyAlignment="1">
      <alignment horizontal="left"/>
    </xf>
    <xf numFmtId="0" fontId="1" fillId="0" borderId="10" xfId="0" applyFont="1" applyBorder="1"/>
    <xf numFmtId="0" fontId="1" fillId="0" borderId="11" xfId="0" applyFont="1" applyBorder="1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0" borderId="9" xfId="0" applyFont="1" applyBorder="1" applyAlignment="1">
      <alignment horizontal="center"/>
    </xf>
    <xf numFmtId="2" fontId="1" fillId="0" borderId="9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9" fontId="0" fillId="0" borderId="0" xfId="1" applyFont="1"/>
    <xf numFmtId="0" fontId="0" fillId="0" borderId="0" xfId="0" applyAlignment="1">
      <alignment horizontal="center"/>
    </xf>
    <xf numFmtId="2" fontId="0" fillId="0" borderId="0" xfId="0" applyNumberFormat="1" applyAlignment="1">
      <alignment horizontal="left"/>
    </xf>
    <xf numFmtId="165" fontId="0" fillId="0" borderId="0" xfId="0" applyNumberFormat="1"/>
    <xf numFmtId="0" fontId="0" fillId="0" borderId="9" xfId="0" applyBorder="1" applyAlignment="1">
      <alignment horizontal="center"/>
    </xf>
    <xf numFmtId="9" fontId="0" fillId="0" borderId="9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9" xfId="0" applyNumberFormat="1" applyBorder="1" applyAlignment="1">
      <alignment horizontal="center"/>
    </xf>
    <xf numFmtId="0" fontId="1" fillId="0" borderId="1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vide Carecci" id="{A0212B24-BB1C-4C1C-87E6-8E63FA387700}" userId="S::10530006@polimi.it::84e7b30f-a1ef-4dac-bdce-f4de48039ba1" providerId="AD"/>
</personList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8" dT="2024-03-22T15:20:50.84" personId="{A0212B24-BB1C-4C1C-87E6-8E63FA387700}" id="{1ECA7AC3-C510-4B7F-9051-28F078172BEF}">
    <text>Liquid and solid slurries</text>
  </threadedComment>
  <threadedComment ref="A19" dT="2024-03-22T15:25:06.51" personId="{A0212B24-BB1C-4C1C-87E6-8E63FA387700}" id="{3D4C7D5D-3688-438C-8034-D29609EC8999}">
    <text>Slurries + industrial byproducts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0E0EC-70DB-4BBF-BA9C-DE9A58926FC4}">
  <dimension ref="A1:U65"/>
  <sheetViews>
    <sheetView tabSelected="1" zoomScale="85" zoomScaleNormal="85" workbookViewId="0">
      <selection activeCell="D30" sqref="D30"/>
    </sheetView>
  </sheetViews>
  <sheetFormatPr defaultRowHeight="14.4"/>
  <cols>
    <col min="1" max="1" width="41" bestFit="1" customWidth="1"/>
    <col min="2" max="2" width="11" bestFit="1" customWidth="1"/>
    <col min="4" max="4" width="12" bestFit="1" customWidth="1"/>
  </cols>
  <sheetData>
    <row r="1" spans="1:21" ht="15" thickBot="1">
      <c r="A1" s="16" t="s">
        <v>140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</row>
    <row r="2" spans="1:21">
      <c r="A2" s="4" t="s">
        <v>20</v>
      </c>
      <c r="B2" s="7"/>
      <c r="C2" s="8"/>
      <c r="D2" s="8"/>
      <c r="E2" s="8">
        <v>1376.63</v>
      </c>
      <c r="F2" s="8"/>
      <c r="G2" s="8"/>
      <c r="H2" s="8"/>
      <c r="I2" s="8"/>
      <c r="J2" s="8"/>
      <c r="K2" s="8"/>
      <c r="L2" s="8"/>
      <c r="M2" s="8"/>
      <c r="N2" s="8">
        <v>118.35</v>
      </c>
      <c r="O2" s="8"/>
      <c r="P2" s="8"/>
      <c r="Q2" s="8"/>
      <c r="R2" s="8"/>
      <c r="S2" s="8"/>
      <c r="T2" s="8"/>
      <c r="U2" s="9"/>
    </row>
    <row r="3" spans="1:21">
      <c r="A3" s="4" t="s">
        <v>21</v>
      </c>
      <c r="B3" s="10"/>
      <c r="U3" s="11"/>
    </row>
    <row r="4" spans="1:21">
      <c r="A4" s="4" t="s">
        <v>22</v>
      </c>
      <c r="B4" s="10"/>
      <c r="U4" s="11"/>
    </row>
    <row r="5" spans="1:21">
      <c r="A5" s="4" t="s">
        <v>23</v>
      </c>
      <c r="B5" s="10"/>
      <c r="U5" s="11">
        <v>21509.01</v>
      </c>
    </row>
    <row r="6" spans="1:21">
      <c r="A6" s="4" t="s">
        <v>24</v>
      </c>
      <c r="B6" s="10"/>
      <c r="U6">
        <v>5751</v>
      </c>
    </row>
    <row r="7" spans="1:21">
      <c r="A7" s="4" t="s">
        <v>25</v>
      </c>
      <c r="B7" s="10"/>
      <c r="U7" s="11"/>
    </row>
    <row r="8" spans="1:21">
      <c r="A8" s="4" t="s">
        <v>26</v>
      </c>
      <c r="B8" s="10"/>
      <c r="U8" s="11"/>
    </row>
    <row r="9" spans="1:21">
      <c r="A9" s="4" t="s">
        <v>27</v>
      </c>
      <c r="B9" s="10"/>
      <c r="U9" s="11"/>
    </row>
    <row r="10" spans="1:21">
      <c r="A10" s="4" t="s">
        <v>28</v>
      </c>
      <c r="B10" s="10"/>
      <c r="U10" s="11"/>
    </row>
    <row r="11" spans="1:21" ht="15" thickBot="1">
      <c r="A11" s="4" t="s">
        <v>29</v>
      </c>
      <c r="B11" s="12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4"/>
    </row>
    <row r="13" spans="1:21">
      <c r="A13" t="s">
        <v>30</v>
      </c>
      <c r="B13">
        <v>6390</v>
      </c>
      <c r="C13" t="s">
        <v>31</v>
      </c>
    </row>
    <row r="14" spans="1:21">
      <c r="A14" t="s">
        <v>32</v>
      </c>
      <c r="B14">
        <v>90</v>
      </c>
      <c r="C14" t="s">
        <v>33</v>
      </c>
      <c r="I14" s="3"/>
    </row>
    <row r="15" spans="1:21">
      <c r="A15" t="s">
        <v>34</v>
      </c>
      <c r="B15">
        <f>B13/(SUM(B2:U11)/B14)</f>
        <v>20.000006955314539</v>
      </c>
      <c r="C15" t="s">
        <v>33</v>
      </c>
      <c r="I15" s="3"/>
    </row>
    <row r="16" spans="1:21">
      <c r="G16" s="3"/>
      <c r="I16" s="3"/>
    </row>
    <row r="17" spans="1:7">
      <c r="A17" t="s">
        <v>35</v>
      </c>
      <c r="B17" t="s">
        <v>36</v>
      </c>
      <c r="C17" t="s">
        <v>37</v>
      </c>
      <c r="G17" s="3"/>
    </row>
    <row r="18" spans="1:7">
      <c r="A18" t="s">
        <v>38</v>
      </c>
      <c r="B18">
        <v>0.4</v>
      </c>
      <c r="C18" t="s">
        <v>39</v>
      </c>
      <c r="D18" s="1">
        <f>(SUM(B3:U5)+SUM(B7:U7))/SUM(B2:U11)</f>
        <v>0.74800964980339069</v>
      </c>
      <c r="G18" s="3"/>
    </row>
    <row r="19" spans="1:7">
      <c r="A19" t="s">
        <v>40</v>
      </c>
      <c r="D19" s="1"/>
      <c r="G19" s="3"/>
    </row>
    <row r="20" spans="1:7">
      <c r="A20" t="s">
        <v>41</v>
      </c>
      <c r="B20">
        <v>0.3</v>
      </c>
      <c r="C20" t="s">
        <v>42</v>
      </c>
      <c r="D20" s="1">
        <f>(SUM(B2:U2)+SUM(B8:U8)+SUM(B10:U10))/SUM(B2:U11)</f>
        <v>5.1990280643463976E-2</v>
      </c>
      <c r="G20" s="3"/>
    </row>
    <row r="21" spans="1:7">
      <c r="A21" t="s">
        <v>43</v>
      </c>
      <c r="B21">
        <v>0.2</v>
      </c>
      <c r="C21" t="s">
        <v>42</v>
      </c>
      <c r="D21" s="1">
        <f>SUM(B6:U6)/SUM(B2:U11)</f>
        <v>0.20000006955314539</v>
      </c>
      <c r="G21" s="3"/>
    </row>
    <row r="22" spans="1:7">
      <c r="A22" t="s">
        <v>44</v>
      </c>
      <c r="B22">
        <v>0.7</v>
      </c>
      <c r="C22" t="s">
        <v>39</v>
      </c>
      <c r="D22" s="1">
        <f>(SUM(B3:U5)+SUM(B7:U7)+SUM(B11:U11)+SUM(B9:U9))/SUM(B2:U11)</f>
        <v>0.74800964980339069</v>
      </c>
      <c r="G22" s="3"/>
    </row>
    <row r="23" spans="1:7">
      <c r="A23" t="s">
        <v>45</v>
      </c>
      <c r="B23">
        <v>0</v>
      </c>
      <c r="D23" s="1"/>
      <c r="G23" s="3"/>
    </row>
    <row r="24" spans="1:7">
      <c r="A24" s="16" t="s">
        <v>46</v>
      </c>
      <c r="B24" s="16">
        <v>0.3</v>
      </c>
      <c r="C24" s="16" t="s">
        <v>42</v>
      </c>
      <c r="D24" s="1">
        <f>(SUM(B2:U2)+SUM(B6:U6)+SUM(B8:U8)+SUM(B10:U10))/SUM(B2:U11)</f>
        <v>0.25199035019660937</v>
      </c>
      <c r="G24" s="3"/>
    </row>
    <row r="25" spans="1:7">
      <c r="A25" t="s">
        <v>47</v>
      </c>
      <c r="G25" s="3"/>
    </row>
    <row r="26" spans="1:7">
      <c r="G26" s="3"/>
    </row>
    <row r="27" spans="1:7">
      <c r="G27" s="3"/>
    </row>
    <row r="28" spans="1:7">
      <c r="G28" s="3"/>
    </row>
    <row r="29" spans="1:7">
      <c r="G29" s="3"/>
    </row>
    <row r="30" spans="1:7">
      <c r="G30" s="3"/>
    </row>
    <row r="31" spans="1:7">
      <c r="G31" s="3"/>
    </row>
    <row r="32" spans="1:7">
      <c r="G32" s="3"/>
    </row>
    <row r="33" spans="7:7">
      <c r="G33" s="3"/>
    </row>
    <row r="34" spans="7:7">
      <c r="G34" s="3"/>
    </row>
    <row r="35" spans="7:7">
      <c r="G35" s="3"/>
    </row>
    <row r="36" spans="7:7">
      <c r="G36" s="3"/>
    </row>
    <row r="37" spans="7:7">
      <c r="G37" s="3"/>
    </row>
    <row r="38" spans="7:7">
      <c r="G38" s="3"/>
    </row>
    <row r="39" spans="7:7">
      <c r="G39" s="3"/>
    </row>
    <row r="40" spans="7:7">
      <c r="G40" s="3"/>
    </row>
    <row r="41" spans="7:7">
      <c r="G41" s="3"/>
    </row>
    <row r="42" spans="7:7">
      <c r="G42" s="3"/>
    </row>
    <row r="43" spans="7:7">
      <c r="G43" s="3"/>
    </row>
    <row r="44" spans="7:7">
      <c r="G44" s="3"/>
    </row>
    <row r="45" spans="7:7">
      <c r="G45" s="3"/>
    </row>
    <row r="46" spans="7:7">
      <c r="G46" s="3"/>
    </row>
    <row r="47" spans="7:7">
      <c r="G47" s="3"/>
    </row>
    <row r="48" spans="7:7">
      <c r="G48" s="3"/>
    </row>
    <row r="49" spans="7:7">
      <c r="G49" s="3"/>
    </row>
    <row r="50" spans="7:7">
      <c r="G50" s="3"/>
    </row>
    <row r="51" spans="7:7">
      <c r="G51" s="3"/>
    </row>
    <row r="52" spans="7:7">
      <c r="G52" s="3"/>
    </row>
    <row r="53" spans="7:7">
      <c r="G53" s="3"/>
    </row>
    <row r="54" spans="7:7">
      <c r="G54" s="3"/>
    </row>
    <row r="55" spans="7:7">
      <c r="G55" s="3"/>
    </row>
    <row r="56" spans="7:7">
      <c r="G56" s="3"/>
    </row>
    <row r="57" spans="7:7">
      <c r="G57" s="3"/>
    </row>
    <row r="58" spans="7:7">
      <c r="G58" s="3"/>
    </row>
    <row r="59" spans="7:7">
      <c r="G59" s="3"/>
    </row>
    <row r="60" spans="7:7">
      <c r="G60" s="3"/>
    </row>
    <row r="61" spans="7:7">
      <c r="G61" s="3"/>
    </row>
    <row r="62" spans="7:7">
      <c r="G62" s="3"/>
    </row>
    <row r="63" spans="7:7">
      <c r="G63" s="3"/>
    </row>
    <row r="64" spans="7:7">
      <c r="G64" s="3"/>
    </row>
    <row r="65" spans="7:7">
      <c r="G65" s="3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CCA70-3B8D-4DF4-BACF-B592D887B522}">
  <dimension ref="A1:AD36"/>
  <sheetViews>
    <sheetView zoomScale="80" zoomScaleNormal="80" workbookViewId="0">
      <pane xSplit="1" ySplit="2" topLeftCell="G3" activePane="bottomRight" state="frozen"/>
      <selection pane="topRight" activeCell="B1" sqref="B1"/>
      <selection pane="bottomLeft" activeCell="A3" sqref="A3"/>
      <selection pane="bottomRight" activeCell="J25" sqref="J25"/>
    </sheetView>
  </sheetViews>
  <sheetFormatPr defaultRowHeight="14.4"/>
  <cols>
    <col min="1" max="1" width="13.5546875" bestFit="1" customWidth="1"/>
    <col min="2" max="2" width="13.5546875" customWidth="1"/>
    <col min="3" max="3" width="11.6640625" bestFit="1" customWidth="1"/>
    <col min="4" max="4" width="11.44140625" bestFit="1" customWidth="1"/>
    <col min="5" max="5" width="15" bestFit="1" customWidth="1"/>
    <col min="6" max="6" width="11.5546875" bestFit="1" customWidth="1"/>
    <col min="7" max="7" width="10.5546875" bestFit="1" customWidth="1"/>
    <col min="8" max="8" width="10.88671875" bestFit="1" customWidth="1"/>
    <col min="9" max="9" width="10.5546875" bestFit="1" customWidth="1"/>
    <col min="10" max="10" width="15.6640625" bestFit="1" customWidth="1"/>
    <col min="11" max="11" width="12.109375" bestFit="1" customWidth="1"/>
    <col min="12" max="12" width="9.88671875" bestFit="1" customWidth="1"/>
    <col min="13" max="13" width="11.88671875" bestFit="1" customWidth="1"/>
    <col min="20" max="20" width="12.109375" bestFit="1" customWidth="1"/>
    <col min="21" max="29" width="9.88671875" bestFit="1" customWidth="1"/>
  </cols>
  <sheetData>
    <row r="1" spans="1:30">
      <c r="B1" t="s">
        <v>48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  <c r="I1" t="s">
        <v>55</v>
      </c>
      <c r="J1" t="s">
        <v>56</v>
      </c>
      <c r="K1" t="s">
        <v>57</v>
      </c>
      <c r="L1" t="s">
        <v>58</v>
      </c>
      <c r="M1" t="s">
        <v>59</v>
      </c>
      <c r="N1" t="s">
        <v>60</v>
      </c>
      <c r="O1" t="s">
        <v>61</v>
      </c>
      <c r="P1" t="s">
        <v>62</v>
      </c>
      <c r="Q1" t="s">
        <v>63</v>
      </c>
      <c r="R1" t="s">
        <v>64</v>
      </c>
      <c r="S1" t="s">
        <v>65</v>
      </c>
      <c r="T1" t="s">
        <v>66</v>
      </c>
      <c r="U1" t="s">
        <v>67</v>
      </c>
      <c r="V1" t="s">
        <v>68</v>
      </c>
      <c r="W1" t="s">
        <v>69</v>
      </c>
      <c r="X1" t="s">
        <v>70</v>
      </c>
      <c r="Y1" t="s">
        <v>71</v>
      </c>
      <c r="Z1" t="s">
        <v>72</v>
      </c>
      <c r="AA1" t="s">
        <v>73</v>
      </c>
      <c r="AB1" t="s">
        <v>74</v>
      </c>
      <c r="AC1" t="s">
        <v>75</v>
      </c>
      <c r="AD1" t="s">
        <v>76</v>
      </c>
    </row>
    <row r="2" spans="1:30">
      <c r="B2" t="s">
        <v>77</v>
      </c>
      <c r="C2" t="s">
        <v>78</v>
      </c>
      <c r="D2" t="s">
        <v>79</v>
      </c>
      <c r="E2" t="s">
        <v>80</v>
      </c>
      <c r="F2" t="s">
        <v>81</v>
      </c>
      <c r="G2" t="s">
        <v>82</v>
      </c>
      <c r="H2" t="s">
        <v>83</v>
      </c>
      <c r="I2" t="s">
        <v>82</v>
      </c>
      <c r="J2" t="s">
        <v>84</v>
      </c>
      <c r="K2" t="s">
        <v>85</v>
      </c>
      <c r="L2" t="s">
        <v>86</v>
      </c>
      <c r="M2" t="s">
        <v>87</v>
      </c>
      <c r="N2" t="s">
        <v>88</v>
      </c>
      <c r="O2" t="s">
        <v>88</v>
      </c>
      <c r="P2" t="s">
        <v>80</v>
      </c>
      <c r="Q2" t="s">
        <v>80</v>
      </c>
      <c r="R2" t="s">
        <v>78</v>
      </c>
      <c r="S2" t="s">
        <v>78</v>
      </c>
      <c r="T2" t="s">
        <v>79</v>
      </c>
      <c r="U2" t="s">
        <v>79</v>
      </c>
      <c r="V2" t="s">
        <v>80</v>
      </c>
      <c r="W2" t="s">
        <v>80</v>
      </c>
    </row>
    <row r="3" spans="1:30">
      <c r="A3" s="4" t="s">
        <v>20</v>
      </c>
      <c r="B3" s="16">
        <v>0.8</v>
      </c>
      <c r="C3" s="6">
        <v>280</v>
      </c>
      <c r="D3" s="6">
        <v>262.37333333333328</v>
      </c>
      <c r="E3" s="6">
        <v>308.79633333333328</v>
      </c>
      <c r="F3">
        <v>50</v>
      </c>
      <c r="G3">
        <v>14</v>
      </c>
      <c r="H3" s="19">
        <v>48.8</v>
      </c>
      <c r="I3" s="15">
        <v>0.5</v>
      </c>
      <c r="J3" s="16">
        <v>0</v>
      </c>
      <c r="K3" s="16">
        <f>0.03*C3</f>
        <v>8.4</v>
      </c>
      <c r="L3" s="16">
        <f>0.02*C3</f>
        <v>5.6000000000000005</v>
      </c>
      <c r="M3" s="15">
        <v>1.2</v>
      </c>
      <c r="N3" s="15">
        <v>0.8</v>
      </c>
      <c r="O3">
        <v>0.15</v>
      </c>
      <c r="P3" s="16">
        <v>100</v>
      </c>
      <c r="Q3" s="6">
        <f>E3-P3</f>
        <v>208.79633333333328</v>
      </c>
      <c r="R3" s="6">
        <v>240</v>
      </c>
      <c r="S3" s="6">
        <v>320</v>
      </c>
      <c r="T3" s="6">
        <v>220.32</v>
      </c>
      <c r="U3" s="6">
        <v>300.79999999999995</v>
      </c>
      <c r="V3" s="6">
        <v>323.98899999999998</v>
      </c>
      <c r="W3" s="6">
        <v>286.2</v>
      </c>
      <c r="X3" s="1">
        <f t="shared" ref="X3:X12" si="0">R3/C3</f>
        <v>0.8571428571428571</v>
      </c>
      <c r="Y3" s="1">
        <f t="shared" ref="Y3:Y12" si="1">S3/C3</f>
        <v>1.1428571428571428</v>
      </c>
      <c r="Z3" s="1">
        <f t="shared" ref="Z3:Z12" si="2">T3/D3</f>
        <v>0.83971948368736671</v>
      </c>
      <c r="AA3" s="1">
        <f t="shared" ref="AA3:AA12" si="3">U3/D3</f>
        <v>1.1464579733712776</v>
      </c>
      <c r="AB3" s="1">
        <f t="shared" ref="AB3:AB12" si="4">V3/E3</f>
        <v>1.0491996342789045</v>
      </c>
      <c r="AC3" s="1">
        <f t="shared" ref="AC3:AC12" si="5">W3/E3</f>
        <v>0.92682447654279154</v>
      </c>
      <c r="AD3" t="s">
        <v>89</v>
      </c>
    </row>
    <row r="4" spans="1:30">
      <c r="A4" s="4" t="s">
        <v>21</v>
      </c>
      <c r="B4">
        <v>1</v>
      </c>
      <c r="C4" s="6">
        <v>458.05</v>
      </c>
      <c r="D4" s="6">
        <v>335.45</v>
      </c>
      <c r="E4" s="6">
        <v>294.36180555555558</v>
      </c>
      <c r="F4">
        <v>60</v>
      </c>
      <c r="G4">
        <v>26</v>
      </c>
      <c r="H4" s="19">
        <v>9</v>
      </c>
      <c r="I4" s="16">
        <v>1.5</v>
      </c>
      <c r="J4" s="16">
        <v>3</v>
      </c>
      <c r="K4" s="15">
        <f>0.03*C4</f>
        <v>13.7415</v>
      </c>
      <c r="L4" s="16">
        <v>1</v>
      </c>
      <c r="M4" s="16">
        <v>1.5</v>
      </c>
      <c r="N4" s="16">
        <v>0.6</v>
      </c>
      <c r="O4">
        <v>0.09</v>
      </c>
      <c r="P4" s="16">
        <v>100</v>
      </c>
      <c r="Q4" s="6">
        <f t="shared" ref="Q4:Q12" si="6">E4-P4</f>
        <v>194.36180555555558</v>
      </c>
      <c r="R4" s="6">
        <v>280</v>
      </c>
      <c r="S4" s="6">
        <v>681</v>
      </c>
      <c r="T4" s="6">
        <v>210</v>
      </c>
      <c r="U4" s="6">
        <v>483</v>
      </c>
      <c r="V4" s="6">
        <v>375</v>
      </c>
      <c r="W4" s="6">
        <v>185.7</v>
      </c>
      <c r="X4" s="1">
        <f t="shared" si="0"/>
        <v>0.61128697740421345</v>
      </c>
      <c r="Y4" s="1">
        <f t="shared" si="1"/>
        <v>1.4867372557581049</v>
      </c>
      <c r="Z4" s="1">
        <f t="shared" si="2"/>
        <v>0.62602474288269494</v>
      </c>
      <c r="AA4" s="1">
        <f t="shared" si="3"/>
        <v>1.4398569086301982</v>
      </c>
      <c r="AB4" s="1">
        <f t="shared" si="4"/>
        <v>1.27394245082936</v>
      </c>
      <c r="AC4" s="1">
        <f t="shared" si="5"/>
        <v>0.63085630165069906</v>
      </c>
      <c r="AD4" t="s">
        <v>90</v>
      </c>
    </row>
    <row r="5" spans="1:30">
      <c r="A5" s="4" t="s">
        <v>22</v>
      </c>
      <c r="B5" s="16">
        <v>1</v>
      </c>
      <c r="C5" s="6">
        <v>242.5</v>
      </c>
      <c r="D5" s="6">
        <v>192.9</v>
      </c>
      <c r="E5" s="6">
        <v>182.1875</v>
      </c>
      <c r="F5">
        <v>50</v>
      </c>
      <c r="G5">
        <v>4</v>
      </c>
      <c r="H5" s="19">
        <v>24</v>
      </c>
      <c r="I5" s="16">
        <v>0.5</v>
      </c>
      <c r="J5" s="16">
        <v>3</v>
      </c>
      <c r="K5" s="16">
        <f>0.03*C5</f>
        <v>7.2749999999999995</v>
      </c>
      <c r="L5" s="16">
        <v>1</v>
      </c>
      <c r="M5" s="16">
        <v>1.35</v>
      </c>
      <c r="N5" s="16">
        <v>0.6</v>
      </c>
      <c r="O5">
        <v>0.09</v>
      </c>
      <c r="P5" s="16">
        <v>50</v>
      </c>
      <c r="Q5" s="6">
        <f t="shared" si="6"/>
        <v>132.1875</v>
      </c>
      <c r="R5" s="6">
        <v>220</v>
      </c>
      <c r="S5" s="6">
        <v>250</v>
      </c>
      <c r="T5" s="6">
        <v>171.6</v>
      </c>
      <c r="U5" s="6">
        <v>200</v>
      </c>
      <c r="V5" s="6">
        <v>209.00000000000003</v>
      </c>
      <c r="W5" s="6">
        <v>165</v>
      </c>
      <c r="X5" s="1">
        <f t="shared" si="0"/>
        <v>0.90721649484536082</v>
      </c>
      <c r="Y5" s="1">
        <f t="shared" si="1"/>
        <v>1.0309278350515463</v>
      </c>
      <c r="Z5" s="1">
        <f t="shared" si="2"/>
        <v>0.88958009331259713</v>
      </c>
      <c r="AA5" s="1">
        <f t="shared" si="3"/>
        <v>1.0368066355624677</v>
      </c>
      <c r="AB5" s="1">
        <f t="shared" si="4"/>
        <v>1.1471698113207549</v>
      </c>
      <c r="AC5" s="1">
        <f t="shared" si="5"/>
        <v>0.90566037735849059</v>
      </c>
      <c r="AD5" t="s">
        <v>90</v>
      </c>
    </row>
    <row r="6" spans="1:30">
      <c r="A6" s="4" t="s">
        <v>23</v>
      </c>
      <c r="B6" s="1">
        <v>1</v>
      </c>
      <c r="C6" s="6">
        <v>71.841000000000008</v>
      </c>
      <c r="D6" s="6">
        <v>59.841999999999999</v>
      </c>
      <c r="E6" s="6">
        <v>231.35999999999999</v>
      </c>
      <c r="F6" s="6">
        <v>60</v>
      </c>
      <c r="G6" s="1">
        <f>1.6+I6</f>
        <v>3.1</v>
      </c>
      <c r="H6" s="2">
        <v>18.8</v>
      </c>
      <c r="I6" s="1">
        <v>1.5</v>
      </c>
      <c r="J6" s="1">
        <v>10</v>
      </c>
      <c r="K6" s="1">
        <f>0.05*C6</f>
        <v>3.5920500000000004</v>
      </c>
      <c r="L6" s="1">
        <v>5</v>
      </c>
      <c r="M6" s="1">
        <v>1.4</v>
      </c>
      <c r="N6" s="1">
        <v>0.5</v>
      </c>
      <c r="O6">
        <v>0.06</v>
      </c>
      <c r="P6" s="15">
        <v>50</v>
      </c>
      <c r="Q6" s="6">
        <f t="shared" si="6"/>
        <v>181.35999999999999</v>
      </c>
      <c r="R6" s="6">
        <v>13.11</v>
      </c>
      <c r="S6" s="6">
        <v>145.30000000000001</v>
      </c>
      <c r="T6" s="6">
        <v>5.62</v>
      </c>
      <c r="U6" s="6">
        <v>124.1</v>
      </c>
      <c r="V6" s="6">
        <v>320</v>
      </c>
      <c r="W6" s="6">
        <v>181.5</v>
      </c>
      <c r="X6" s="1">
        <f t="shared" si="0"/>
        <v>0.18248632396542361</v>
      </c>
      <c r="Y6" s="1">
        <f t="shared" si="1"/>
        <v>2.0225219582132765</v>
      </c>
      <c r="Z6" s="1">
        <f t="shared" si="2"/>
        <v>9.3913973463453759E-2</v>
      </c>
      <c r="AA6" s="1">
        <f t="shared" si="3"/>
        <v>2.0737943250559807</v>
      </c>
      <c r="AB6" s="1">
        <f t="shared" si="4"/>
        <v>1.3831258644536655</v>
      </c>
      <c r="AC6" s="1">
        <f t="shared" si="5"/>
        <v>0.78449170124481338</v>
      </c>
      <c r="AD6" t="s">
        <v>90</v>
      </c>
    </row>
    <row r="7" spans="1:30">
      <c r="A7" s="4" t="s">
        <v>24</v>
      </c>
      <c r="B7" s="15">
        <v>0.8</v>
      </c>
      <c r="C7" s="6">
        <v>325.25454545454545</v>
      </c>
      <c r="D7" s="6">
        <v>307.98363636363638</v>
      </c>
      <c r="E7" s="6">
        <v>343.74585454545456</v>
      </c>
      <c r="F7" s="6">
        <v>50</v>
      </c>
      <c r="G7" s="1">
        <f>3.19+I7</f>
        <v>3.69</v>
      </c>
      <c r="H7" s="2">
        <v>48.8</v>
      </c>
      <c r="I7" s="1">
        <v>0.5</v>
      </c>
      <c r="J7" s="1">
        <v>0</v>
      </c>
      <c r="K7" s="1">
        <f>0.03*C7</f>
        <v>9.7576363636363634</v>
      </c>
      <c r="L7" s="1">
        <v>10</v>
      </c>
      <c r="M7" s="1">
        <v>1.2</v>
      </c>
      <c r="N7" s="1">
        <v>0.8</v>
      </c>
      <c r="O7">
        <v>0.15</v>
      </c>
      <c r="P7" s="15">
        <v>200</v>
      </c>
      <c r="Q7" s="6">
        <f t="shared" si="6"/>
        <v>143.74585454545456</v>
      </c>
      <c r="R7" s="6">
        <v>220</v>
      </c>
      <c r="S7" s="6">
        <v>371.6</v>
      </c>
      <c r="T7" s="6">
        <v>208.11999999999998</v>
      </c>
      <c r="U7" s="6">
        <v>366.2</v>
      </c>
      <c r="V7" s="6">
        <v>400</v>
      </c>
      <c r="W7" s="6">
        <v>295.06440000000003</v>
      </c>
      <c r="X7" s="1">
        <f t="shared" si="0"/>
        <v>0.67639331432724026</v>
      </c>
      <c r="Y7" s="1">
        <f t="shared" si="1"/>
        <v>1.1424897982000113</v>
      </c>
      <c r="Z7" s="1">
        <f t="shared" si="2"/>
        <v>0.67575018743616833</v>
      </c>
      <c r="AA7" s="1">
        <f t="shared" si="3"/>
        <v>1.1890242102591047</v>
      </c>
      <c r="AB7" s="1">
        <f t="shared" si="4"/>
        <v>1.1636503966831309</v>
      </c>
      <c r="AC7" s="1">
        <f t="shared" si="5"/>
        <v>0.85837951526767509</v>
      </c>
      <c r="AD7" t="s">
        <v>91</v>
      </c>
    </row>
    <row r="8" spans="1:30">
      <c r="A8" s="4" t="s">
        <v>25</v>
      </c>
      <c r="B8">
        <v>1</v>
      </c>
      <c r="C8" s="6">
        <v>51.279999999999994</v>
      </c>
      <c r="D8" s="6">
        <v>39.56</v>
      </c>
      <c r="E8" s="6">
        <v>202.32</v>
      </c>
      <c r="F8">
        <v>60</v>
      </c>
      <c r="G8">
        <v>3</v>
      </c>
      <c r="H8" s="19">
        <v>11</v>
      </c>
      <c r="I8" s="16">
        <v>2.2400000000000002</v>
      </c>
      <c r="J8" s="16">
        <v>15</v>
      </c>
      <c r="K8" s="16">
        <f>0.076*C8</f>
        <v>3.8972799999999994</v>
      </c>
      <c r="L8" s="16">
        <v>4</v>
      </c>
      <c r="M8" s="15">
        <v>1.4</v>
      </c>
      <c r="N8" s="15">
        <v>0.5</v>
      </c>
      <c r="O8">
        <v>0.06</v>
      </c>
      <c r="P8" s="16">
        <v>70</v>
      </c>
      <c r="Q8" s="6">
        <f t="shared" si="6"/>
        <v>132.32</v>
      </c>
      <c r="R8" s="6">
        <v>35</v>
      </c>
      <c r="S8" s="6">
        <v>68.2</v>
      </c>
      <c r="T8" s="6">
        <v>28</v>
      </c>
      <c r="U8" s="6">
        <v>48.9</v>
      </c>
      <c r="V8" s="6">
        <v>252.3</v>
      </c>
      <c r="W8" s="6">
        <v>125</v>
      </c>
      <c r="X8" s="1">
        <f t="shared" si="0"/>
        <v>0.68252730109204374</v>
      </c>
      <c r="Y8" s="1">
        <f t="shared" si="1"/>
        <v>1.3299531981279253</v>
      </c>
      <c r="Z8" s="1">
        <f t="shared" si="2"/>
        <v>0.70778564206268957</v>
      </c>
      <c r="AA8" s="1">
        <f t="shared" si="3"/>
        <v>1.236097067745197</v>
      </c>
      <c r="AB8" s="1">
        <f t="shared" si="4"/>
        <v>1.2470344009489918</v>
      </c>
      <c r="AC8" s="1">
        <f t="shared" si="5"/>
        <v>0.61783313562672992</v>
      </c>
      <c r="AD8" t="s">
        <v>90</v>
      </c>
    </row>
    <row r="9" spans="1:30">
      <c r="A9" s="4" t="s">
        <v>26</v>
      </c>
      <c r="B9" s="16">
        <v>0.8</v>
      </c>
      <c r="C9" s="6">
        <v>258.51249999999999</v>
      </c>
      <c r="D9" s="6">
        <v>238.70000000000002</v>
      </c>
      <c r="E9" s="6">
        <v>280.4325</v>
      </c>
      <c r="F9">
        <v>50</v>
      </c>
      <c r="G9">
        <v>4</v>
      </c>
      <c r="H9" s="19">
        <v>48.8</v>
      </c>
      <c r="I9" s="16">
        <v>0.5</v>
      </c>
      <c r="J9" s="16">
        <v>0</v>
      </c>
      <c r="K9" s="16">
        <f>0.03*C9</f>
        <v>7.755374999999999</v>
      </c>
      <c r="L9" s="16">
        <f>0.02*C3</f>
        <v>5.6000000000000005</v>
      </c>
      <c r="M9" s="15">
        <v>1.2</v>
      </c>
      <c r="N9" s="15">
        <v>0.8</v>
      </c>
      <c r="O9">
        <v>0.15</v>
      </c>
      <c r="P9" s="16">
        <v>120</v>
      </c>
      <c r="Q9" s="6">
        <f t="shared" si="6"/>
        <v>160.4325</v>
      </c>
      <c r="R9" s="6">
        <v>182.9</v>
      </c>
      <c r="S9" s="6">
        <v>320</v>
      </c>
      <c r="T9" s="6">
        <v>169.3</v>
      </c>
      <c r="U9" s="6">
        <v>300.79999999999995</v>
      </c>
      <c r="V9" s="6">
        <v>372.96000000000004</v>
      </c>
      <c r="W9" s="6">
        <v>152</v>
      </c>
      <c r="X9" s="1">
        <f t="shared" si="0"/>
        <v>0.70750930806053869</v>
      </c>
      <c r="Y9" s="1">
        <f t="shared" si="1"/>
        <v>1.237851167738504</v>
      </c>
      <c r="Z9" s="1">
        <f t="shared" si="2"/>
        <v>0.7092584834520318</v>
      </c>
      <c r="AA9" s="1">
        <f t="shared" si="3"/>
        <v>1.2601591956430662</v>
      </c>
      <c r="AB9" s="1">
        <f t="shared" si="4"/>
        <v>1.329945708860421</v>
      </c>
      <c r="AC9" s="1">
        <f t="shared" si="5"/>
        <v>0.54201991566598018</v>
      </c>
      <c r="AD9" t="s">
        <v>89</v>
      </c>
    </row>
    <row r="10" spans="1:30">
      <c r="A10" s="4" t="s">
        <v>27</v>
      </c>
      <c r="B10" s="16">
        <v>0.7</v>
      </c>
      <c r="C10" s="6">
        <v>281.25</v>
      </c>
      <c r="D10" s="6">
        <v>272.25</v>
      </c>
      <c r="E10" s="6">
        <v>191.375</v>
      </c>
      <c r="F10">
        <v>50</v>
      </c>
      <c r="G10">
        <v>8</v>
      </c>
      <c r="H10" s="19">
        <v>20</v>
      </c>
      <c r="I10" s="16">
        <v>0.3</v>
      </c>
      <c r="J10" s="16">
        <v>0</v>
      </c>
      <c r="K10" s="16">
        <f>0.01*C10</f>
        <v>2.8125</v>
      </c>
      <c r="L10" s="16">
        <v>1</v>
      </c>
      <c r="M10" s="15">
        <v>1.35</v>
      </c>
      <c r="N10" s="16">
        <v>0.6</v>
      </c>
      <c r="O10">
        <v>0.09</v>
      </c>
      <c r="P10" s="16">
        <v>30</v>
      </c>
      <c r="Q10" s="6">
        <f t="shared" si="6"/>
        <v>161.375</v>
      </c>
      <c r="R10" s="6">
        <v>275</v>
      </c>
      <c r="S10" s="6">
        <v>286</v>
      </c>
      <c r="T10" s="6">
        <v>266.2</v>
      </c>
      <c r="U10" s="6">
        <v>276.84800000000001</v>
      </c>
      <c r="V10" s="6">
        <v>223</v>
      </c>
      <c r="W10" s="6">
        <v>170</v>
      </c>
      <c r="X10" s="1">
        <f t="shared" si="0"/>
        <v>0.97777777777777775</v>
      </c>
      <c r="Y10" s="1">
        <f t="shared" si="1"/>
        <v>1.016888888888889</v>
      </c>
      <c r="Z10" s="1">
        <f t="shared" si="2"/>
        <v>0.97777777777777775</v>
      </c>
      <c r="AA10" s="1">
        <f t="shared" si="3"/>
        <v>1.016888888888889</v>
      </c>
      <c r="AB10" s="1">
        <f t="shared" si="4"/>
        <v>1.1652514696276943</v>
      </c>
      <c r="AC10" s="1">
        <f t="shared" si="5"/>
        <v>0.8883082952318746</v>
      </c>
      <c r="AD10" t="s">
        <v>92</v>
      </c>
    </row>
    <row r="11" spans="1:30">
      <c r="A11" s="4" t="s">
        <v>28</v>
      </c>
      <c r="B11" s="16">
        <v>0.8</v>
      </c>
      <c r="C11" s="6">
        <v>300</v>
      </c>
      <c r="D11" s="6">
        <v>283.45</v>
      </c>
      <c r="E11" s="6">
        <v>288.5</v>
      </c>
      <c r="F11">
        <v>50</v>
      </c>
      <c r="G11">
        <v>4</v>
      </c>
      <c r="H11" s="19">
        <v>48.8</v>
      </c>
      <c r="I11" s="16">
        <v>0.5</v>
      </c>
      <c r="J11" s="16">
        <v>0</v>
      </c>
      <c r="K11" s="16">
        <f>0.03*C11</f>
        <v>9</v>
      </c>
      <c r="L11" s="16">
        <f>0.02*C3</f>
        <v>5.6000000000000005</v>
      </c>
      <c r="M11" s="15">
        <v>1.2</v>
      </c>
      <c r="N11" s="15">
        <v>0.8</v>
      </c>
      <c r="O11">
        <v>0.15</v>
      </c>
      <c r="P11" s="16">
        <v>120</v>
      </c>
      <c r="Q11" s="6">
        <f t="shared" si="6"/>
        <v>168.5</v>
      </c>
      <c r="R11" s="6">
        <v>280</v>
      </c>
      <c r="S11" s="6">
        <v>320</v>
      </c>
      <c r="T11" s="6">
        <v>266</v>
      </c>
      <c r="U11" s="6">
        <v>300.79999999999995</v>
      </c>
      <c r="V11" s="6">
        <v>351</v>
      </c>
      <c r="W11" s="6">
        <v>238</v>
      </c>
      <c r="X11" s="1">
        <f t="shared" si="0"/>
        <v>0.93333333333333335</v>
      </c>
      <c r="Y11" s="1">
        <f t="shared" si="1"/>
        <v>1.0666666666666667</v>
      </c>
      <c r="Z11" s="1">
        <f t="shared" si="2"/>
        <v>0.93843711412947617</v>
      </c>
      <c r="AA11" s="1">
        <f t="shared" si="3"/>
        <v>1.0612100899629564</v>
      </c>
      <c r="AB11" s="1">
        <f t="shared" si="4"/>
        <v>1.2166377816291161</v>
      </c>
      <c r="AC11" s="1">
        <f t="shared" si="5"/>
        <v>0.82495667244367421</v>
      </c>
      <c r="AD11" t="s">
        <v>89</v>
      </c>
    </row>
    <row r="12" spans="1:30">
      <c r="A12" s="4" t="s">
        <v>29</v>
      </c>
      <c r="B12" s="16">
        <v>0.9</v>
      </c>
      <c r="C12" s="6">
        <v>884.5</v>
      </c>
      <c r="D12" s="6">
        <v>832.97899999999993</v>
      </c>
      <c r="E12" s="6">
        <v>331.88416666666672</v>
      </c>
      <c r="F12">
        <v>50</v>
      </c>
      <c r="G12">
        <v>22</v>
      </c>
      <c r="H12" s="19">
        <v>54</v>
      </c>
      <c r="I12" s="16">
        <v>0</v>
      </c>
      <c r="J12" s="16">
        <v>0</v>
      </c>
      <c r="K12" s="16">
        <f>0.039*C12</f>
        <v>34.4955</v>
      </c>
      <c r="L12" s="16">
        <v>1</v>
      </c>
      <c r="M12" s="15">
        <v>1.2</v>
      </c>
      <c r="N12" s="16">
        <v>0.7</v>
      </c>
      <c r="O12">
        <v>0.12</v>
      </c>
      <c r="P12" s="16">
        <v>70</v>
      </c>
      <c r="Q12" s="6">
        <f t="shared" si="6"/>
        <v>261.88416666666672</v>
      </c>
      <c r="R12" s="6">
        <v>870</v>
      </c>
      <c r="S12" s="6">
        <v>900</v>
      </c>
      <c r="T12" s="6">
        <v>769.85</v>
      </c>
      <c r="U12" s="6">
        <v>873</v>
      </c>
      <c r="V12" s="6">
        <v>367.1</v>
      </c>
      <c r="W12" s="6">
        <v>304.2</v>
      </c>
      <c r="X12" s="1">
        <f t="shared" si="0"/>
        <v>0.98360655737704916</v>
      </c>
      <c r="Y12" s="1">
        <f t="shared" si="1"/>
        <v>1.0175240248728095</v>
      </c>
      <c r="Z12" s="1">
        <f t="shared" si="2"/>
        <v>0.92421297535712199</v>
      </c>
      <c r="AA12" s="1">
        <f t="shared" si="3"/>
        <v>1.0480456290014515</v>
      </c>
      <c r="AB12" s="1">
        <f t="shared" si="4"/>
        <v>1.1061088080429666</v>
      </c>
      <c r="AC12" s="1">
        <f t="shared" si="5"/>
        <v>0.91658485264688216</v>
      </c>
      <c r="AD12" t="s">
        <v>92</v>
      </c>
    </row>
    <row r="13" spans="1:30">
      <c r="J13" s="16"/>
      <c r="O13" s="15"/>
      <c r="T13" s="1"/>
      <c r="U13" s="1"/>
      <c r="V13" s="1"/>
      <c r="W13" s="1"/>
      <c r="X13" s="1"/>
      <c r="Y13" s="1"/>
      <c r="Z13" s="1"/>
      <c r="AA13" s="1"/>
      <c r="AB13" s="1"/>
      <c r="AC13" s="1"/>
    </row>
    <row r="14" spans="1:30">
      <c r="F14" s="6"/>
      <c r="G14" s="6"/>
      <c r="H14" s="6"/>
      <c r="I14" s="6"/>
      <c r="J14" s="6"/>
      <c r="K14" s="6"/>
      <c r="L14" s="6"/>
      <c r="M14" s="6"/>
      <c r="N14" s="6"/>
      <c r="O14" s="16"/>
      <c r="T14" s="1"/>
      <c r="U14" s="1"/>
      <c r="V14" s="1"/>
      <c r="W14" s="1"/>
      <c r="X14" s="1"/>
      <c r="Y14" s="1"/>
      <c r="Z14" s="1"/>
      <c r="AA14" s="1"/>
      <c r="AB14" s="1"/>
      <c r="AC14" s="1"/>
    </row>
    <row r="15" spans="1:30">
      <c r="F15" s="6"/>
      <c r="G15" s="6"/>
      <c r="H15" s="6"/>
      <c r="I15" s="6"/>
      <c r="J15" s="6"/>
      <c r="K15" s="6"/>
      <c r="L15" s="6"/>
      <c r="M15" s="6"/>
      <c r="N15" s="6"/>
      <c r="O15" s="16"/>
      <c r="T15" s="1"/>
      <c r="U15" s="1"/>
      <c r="V15" s="1"/>
      <c r="W15" s="1"/>
      <c r="X15" s="1"/>
      <c r="Y15" s="1"/>
      <c r="Z15" s="1"/>
      <c r="AA15" s="1"/>
      <c r="AB15" s="1"/>
      <c r="AC15" s="1"/>
    </row>
    <row r="16" spans="1:30">
      <c r="C16" s="4"/>
      <c r="D16" s="4"/>
      <c r="F16" s="4"/>
      <c r="G16" s="4"/>
      <c r="H16" s="4"/>
      <c r="I16" s="4"/>
      <c r="J16" s="4"/>
      <c r="K16" s="4"/>
      <c r="L16" s="4"/>
      <c r="M16" s="1"/>
      <c r="O16" s="1"/>
      <c r="T16" s="1"/>
      <c r="U16" s="1"/>
      <c r="V16" s="1"/>
      <c r="W16" s="1"/>
      <c r="X16" s="1"/>
      <c r="Y16" s="1"/>
      <c r="Z16" s="1"/>
      <c r="AA16" s="1"/>
      <c r="AB16" s="1"/>
      <c r="AC16" s="1"/>
    </row>
    <row r="17" spans="3:29">
      <c r="F17" s="1"/>
      <c r="G17" s="1"/>
      <c r="M17" s="1"/>
      <c r="O17" s="1"/>
      <c r="T17" s="1"/>
      <c r="U17" s="1"/>
      <c r="V17" s="1"/>
      <c r="W17" s="1"/>
      <c r="X17" s="1"/>
      <c r="Y17" s="1"/>
      <c r="Z17" s="1"/>
      <c r="AA17" s="1"/>
      <c r="AB17" s="1"/>
      <c r="AC17" s="1"/>
    </row>
    <row r="18" spans="3:29">
      <c r="F18" s="1"/>
      <c r="G18" s="1"/>
      <c r="M18" s="1"/>
      <c r="O18" s="1"/>
      <c r="Q18" s="6"/>
    </row>
    <row r="19" spans="3:29">
      <c r="F19" s="1"/>
      <c r="G19" s="1"/>
      <c r="M19" s="1"/>
      <c r="O19" s="1"/>
      <c r="Q19" s="6"/>
    </row>
    <row r="20" spans="3:29">
      <c r="C20" s="6"/>
      <c r="D20" s="6"/>
      <c r="F20" s="6"/>
      <c r="G20" s="6"/>
      <c r="H20" s="6"/>
      <c r="I20" s="6"/>
      <c r="J20" s="6"/>
      <c r="K20" s="6"/>
      <c r="L20" s="6"/>
      <c r="M20" s="1"/>
      <c r="O20" s="1"/>
      <c r="Q20" s="6"/>
    </row>
    <row r="21" spans="3:29">
      <c r="F21" s="6"/>
      <c r="G21" s="6"/>
      <c r="M21" s="1"/>
      <c r="N21" s="1"/>
      <c r="O21" s="1"/>
      <c r="Q21" s="6"/>
      <c r="S21" s="4"/>
      <c r="AC21" s="6"/>
    </row>
    <row r="22" spans="3:29">
      <c r="F22" s="1"/>
      <c r="G22" s="1"/>
      <c r="M22" s="1"/>
      <c r="N22" s="1"/>
      <c r="O22" s="1"/>
      <c r="Q22" s="6"/>
      <c r="S22" s="4"/>
      <c r="AC22" s="6"/>
    </row>
    <row r="23" spans="3:29">
      <c r="F23" s="2"/>
      <c r="G23" s="2"/>
      <c r="M23" s="1"/>
      <c r="O23" s="1"/>
      <c r="Q23" s="6"/>
      <c r="S23" s="4"/>
      <c r="AC23" s="6"/>
    </row>
    <row r="24" spans="3:29">
      <c r="F24" s="1"/>
      <c r="G24" s="1"/>
      <c r="M24" s="1"/>
      <c r="O24" s="1"/>
      <c r="Q24" s="6"/>
      <c r="S24" s="4"/>
      <c r="AC24" s="6"/>
    </row>
    <row r="25" spans="3:29">
      <c r="F25" s="1"/>
      <c r="G25" s="1"/>
      <c r="M25" s="1"/>
      <c r="O25" s="1"/>
      <c r="Q25" s="6"/>
      <c r="S25" s="4"/>
      <c r="AC25" s="6"/>
    </row>
    <row r="26" spans="3:29">
      <c r="F26" s="1"/>
      <c r="G26" s="1"/>
      <c r="M26" s="1"/>
      <c r="Q26" s="6"/>
      <c r="S26" s="4"/>
      <c r="AC26" s="6"/>
    </row>
    <row r="27" spans="3:29">
      <c r="F27" s="1"/>
      <c r="G27" s="1"/>
      <c r="M27" s="1"/>
      <c r="Q27" s="6"/>
      <c r="S27" s="4"/>
      <c r="AC27" s="6"/>
    </row>
    <row r="28" spans="3:29">
      <c r="F28" s="1"/>
      <c r="G28" s="1"/>
      <c r="M28" s="1"/>
      <c r="S28" s="4"/>
      <c r="AC28" s="6"/>
    </row>
    <row r="29" spans="3:29">
      <c r="F29" s="1"/>
      <c r="G29" s="1"/>
      <c r="S29" s="4"/>
      <c r="AC29" s="6"/>
    </row>
    <row r="30" spans="3:29">
      <c r="F30" s="1"/>
      <c r="G30" s="1"/>
      <c r="S30" s="4"/>
      <c r="AC30" s="6"/>
    </row>
    <row r="31" spans="3:29">
      <c r="F31" s="1"/>
      <c r="G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3:29">
      <c r="C32" s="6"/>
      <c r="D32" s="6"/>
      <c r="E32" s="6"/>
      <c r="F32" s="6"/>
      <c r="G32" s="6"/>
      <c r="H32" s="6"/>
      <c r="I32" s="6"/>
      <c r="J32" s="6"/>
      <c r="K32" s="6"/>
      <c r="L32" s="6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20:29"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20:29"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20:29"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20:29">
      <c r="T36" s="1"/>
      <c r="U36" s="1"/>
      <c r="V36" s="1"/>
      <c r="W36" s="1"/>
      <c r="X36" s="1"/>
      <c r="Y36" s="1"/>
      <c r="Z36" s="1"/>
      <c r="AA36" s="1"/>
      <c r="AB36" s="1"/>
      <c r="AC3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4D964-1DBF-442F-96AD-DD78914AF189}">
  <dimension ref="A1:AH52"/>
  <sheetViews>
    <sheetView workbookViewId="0">
      <selection activeCell="H1" sqref="H1:H1048576"/>
    </sheetView>
  </sheetViews>
  <sheetFormatPr defaultRowHeight="14.4"/>
  <sheetData>
    <row r="1" spans="1:13">
      <c r="B1" t="s">
        <v>3</v>
      </c>
      <c r="C1" s="4" t="s">
        <v>20</v>
      </c>
      <c r="D1" s="4" t="s">
        <v>21</v>
      </c>
      <c r="E1" s="4" t="s">
        <v>22</v>
      </c>
      <c r="F1" s="4" t="s">
        <v>23</v>
      </c>
      <c r="G1" s="4" t="s">
        <v>24</v>
      </c>
      <c r="H1" s="4" t="s">
        <v>25</v>
      </c>
      <c r="I1" s="4" t="s">
        <v>26</v>
      </c>
      <c r="J1" s="4" t="s">
        <v>27</v>
      </c>
      <c r="K1" s="4" t="s">
        <v>28</v>
      </c>
      <c r="L1" s="4" t="s">
        <v>29</v>
      </c>
      <c r="M1" s="17" t="s">
        <v>121</v>
      </c>
    </row>
    <row r="2" spans="1:13">
      <c r="B2" t="s">
        <v>122</v>
      </c>
      <c r="C2" t="s">
        <v>123</v>
      </c>
      <c r="D2" t="s">
        <v>123</v>
      </c>
      <c r="E2" t="s">
        <v>123</v>
      </c>
      <c r="F2" t="s">
        <v>123</v>
      </c>
      <c r="G2" t="s">
        <v>123</v>
      </c>
      <c r="H2" t="s">
        <v>123</v>
      </c>
      <c r="I2" t="s">
        <v>123</v>
      </c>
      <c r="J2" t="s">
        <v>123</v>
      </c>
      <c r="K2" t="s">
        <v>123</v>
      </c>
      <c r="L2" t="s">
        <v>123</v>
      </c>
    </row>
    <row r="3" spans="1:13">
      <c r="A3" t="s">
        <v>0</v>
      </c>
      <c r="B3" s="1">
        <v>10</v>
      </c>
      <c r="C3">
        <f>('Item characteristics'!$F$3+$B$3)/20</f>
        <v>3</v>
      </c>
      <c r="D3">
        <f>('Item characteristics'!$F$4+B3)/20</f>
        <v>3.5</v>
      </c>
      <c r="E3">
        <f>('Item characteristics'!$F$5+B3)/20</f>
        <v>3</v>
      </c>
      <c r="F3">
        <f>('Item characteristics'!$F$6+B3)/20</f>
        <v>3.5</v>
      </c>
      <c r="G3">
        <f>('Item characteristics'!$F$7+B3)/20</f>
        <v>3</v>
      </c>
      <c r="H3">
        <f>('Item characteristics'!$F$8+B3)/20</f>
        <v>3.5</v>
      </c>
      <c r="I3">
        <f>('Item characteristics'!$F$9+B3)/20</f>
        <v>3</v>
      </c>
      <c r="J3">
        <f>('Item characteristics'!$F$10+B3)/20</f>
        <v>3</v>
      </c>
      <c r="K3">
        <f>('Item characteristics'!$F$11+B3)/20</f>
        <v>3</v>
      </c>
      <c r="L3">
        <f>('Item characteristics'!$F$12+B3)/20</f>
        <v>3</v>
      </c>
    </row>
    <row r="4" spans="1:13">
      <c r="A4" t="s">
        <v>1</v>
      </c>
      <c r="B4" s="1">
        <v>30</v>
      </c>
      <c r="C4">
        <f>('Item characteristics'!$F$3+B4)/20</f>
        <v>4</v>
      </c>
      <c r="D4">
        <f>('Item characteristics'!$F$4+B4)/20</f>
        <v>4.5</v>
      </c>
      <c r="E4">
        <f>('Item characteristics'!$F$5+B4)/20</f>
        <v>4</v>
      </c>
      <c r="F4">
        <f>('Item characteristics'!$F$6+B4)/20</f>
        <v>4.5</v>
      </c>
      <c r="G4">
        <f>('Item characteristics'!$F$7+B4)/20</f>
        <v>4</v>
      </c>
      <c r="H4">
        <f>('Item characteristics'!$F$8+B4)/20</f>
        <v>4.5</v>
      </c>
      <c r="I4">
        <f>('Item characteristics'!$F$9+B4)/20</f>
        <v>4</v>
      </c>
      <c r="J4">
        <f>('Item characteristics'!$F$10+B4)/20</f>
        <v>4</v>
      </c>
      <c r="K4">
        <f>('Item characteristics'!$F$11+B4)/20</f>
        <v>4</v>
      </c>
      <c r="L4">
        <f>('Item characteristics'!$F$12+B4)/20</f>
        <v>4</v>
      </c>
    </row>
    <row r="5" spans="1:13">
      <c r="A5" t="s">
        <v>2</v>
      </c>
      <c r="B5" s="1">
        <v>15</v>
      </c>
      <c r="C5">
        <f>('Item characteristics'!$F$3+B5)/20</f>
        <v>3.25</v>
      </c>
      <c r="D5">
        <f>('Item characteristics'!$F$4+B5)/20</f>
        <v>3.75</v>
      </c>
      <c r="E5">
        <f>('Item characteristics'!$F$5+B5)/20</f>
        <v>3.25</v>
      </c>
      <c r="F5">
        <f>('Item characteristics'!$F$6+B5)/20</f>
        <v>3.75</v>
      </c>
      <c r="G5">
        <f>('Item characteristics'!$F$7+B5)/20</f>
        <v>3.25</v>
      </c>
      <c r="H5">
        <f>('Item characteristics'!$F$8+B5)/20</f>
        <v>3.75</v>
      </c>
      <c r="I5">
        <f>('Item characteristics'!$F$9+B5)/20</f>
        <v>3.25</v>
      </c>
      <c r="J5">
        <f>('Item characteristics'!$F$10+B5)/20</f>
        <v>3.25</v>
      </c>
      <c r="K5">
        <f>('Item characteristics'!$F$11+B5)/20</f>
        <v>3.25</v>
      </c>
      <c r="L5">
        <f>('Item characteristics'!$F$12+B5)/20</f>
        <v>3.25</v>
      </c>
    </row>
    <row r="6" spans="1:13">
      <c r="A6" t="s">
        <v>3</v>
      </c>
      <c r="B6" s="1">
        <v>20</v>
      </c>
      <c r="C6">
        <f>('Item characteristics'!$F$3+B6)/20</f>
        <v>3.5</v>
      </c>
      <c r="D6">
        <f>('Item characteristics'!$F$4+B6)/20</f>
        <v>4</v>
      </c>
      <c r="E6">
        <f>('Item characteristics'!$F$5+B6)/20</f>
        <v>3.5</v>
      </c>
      <c r="F6">
        <f>('Item characteristics'!$F$6+B6)/20</f>
        <v>4</v>
      </c>
      <c r="G6">
        <f>('Item characteristics'!$F$7+B6)/20</f>
        <v>3.5</v>
      </c>
      <c r="H6">
        <f>('Item characteristics'!$F$8+B6)/20</f>
        <v>4</v>
      </c>
      <c r="I6">
        <f>('Item characteristics'!$F$9+B6)/20</f>
        <v>3.5</v>
      </c>
      <c r="J6">
        <f>('Item characteristics'!$F$10+B6)/20</f>
        <v>3.5</v>
      </c>
      <c r="K6">
        <f>('Item characteristics'!$F$11+B6)/20</f>
        <v>3.5</v>
      </c>
      <c r="L6">
        <f>('Item characteristics'!$F$12+B6)/20</f>
        <v>3.5</v>
      </c>
    </row>
    <row r="7" spans="1:13">
      <c r="A7" t="s">
        <v>4</v>
      </c>
      <c r="B7" s="1">
        <v>40</v>
      </c>
      <c r="C7">
        <f>('Item characteristics'!$F$3+B7)/20</f>
        <v>4.5</v>
      </c>
      <c r="D7">
        <f>('Item characteristics'!$F$4+B7)/20</f>
        <v>5</v>
      </c>
      <c r="E7">
        <f>('Item characteristics'!$F$5+B7)/20</f>
        <v>4.5</v>
      </c>
      <c r="F7">
        <f>('Item characteristics'!$F$6+B7)/20</f>
        <v>5</v>
      </c>
      <c r="G7">
        <f>('Item characteristics'!$F$7+B7)/20</f>
        <v>4.5</v>
      </c>
      <c r="H7">
        <f>('Item characteristics'!$F$8+B7)/20</f>
        <v>5</v>
      </c>
      <c r="I7">
        <f>('Item characteristics'!$F$9+B7)/20</f>
        <v>4.5</v>
      </c>
      <c r="J7">
        <f>('Item characteristics'!$F$10+B7)/20</f>
        <v>4.5</v>
      </c>
      <c r="K7">
        <f>('Item characteristics'!$F$11+B7)/20</f>
        <v>4.5</v>
      </c>
      <c r="L7">
        <f>('Item characteristics'!$F$12+B7)/20</f>
        <v>4.5</v>
      </c>
    </row>
    <row r="8" spans="1:13">
      <c r="A8" t="s">
        <v>5</v>
      </c>
      <c r="B8" s="1">
        <v>2</v>
      </c>
      <c r="C8">
        <f>('Item characteristics'!$F$3+B8)/20</f>
        <v>2.6</v>
      </c>
      <c r="D8">
        <f>('Item characteristics'!$F$4+B8)/20</f>
        <v>3.1</v>
      </c>
      <c r="E8">
        <f>('Item characteristics'!$F$5+B8)/20</f>
        <v>2.6</v>
      </c>
      <c r="F8">
        <f>('Item characteristics'!$F$6+B8)/20</f>
        <v>3.1</v>
      </c>
      <c r="G8">
        <f>('Item characteristics'!$F$7+B8)/20</f>
        <v>2.6</v>
      </c>
      <c r="H8">
        <f>('Item characteristics'!$F$8+B8)/20</f>
        <v>3.1</v>
      </c>
      <c r="I8">
        <f>('Item characteristics'!$F$9+B8)/20</f>
        <v>2.6</v>
      </c>
      <c r="J8">
        <f>('Item characteristics'!$F$10+B8)/20</f>
        <v>2.6</v>
      </c>
      <c r="K8">
        <f>('Item characteristics'!$F$11+B8)/20</f>
        <v>2.6</v>
      </c>
      <c r="L8">
        <f>('Item characteristics'!$F$12+B8)/20</f>
        <v>2.6</v>
      </c>
    </row>
    <row r="9" spans="1:13">
      <c r="A9" t="s">
        <v>6</v>
      </c>
      <c r="B9" s="1">
        <v>7</v>
      </c>
      <c r="C9">
        <f>('Item characteristics'!$F$3+B9)/20</f>
        <v>2.85</v>
      </c>
      <c r="D9">
        <f>('Item characteristics'!$F$4+B9)/20</f>
        <v>3.35</v>
      </c>
      <c r="E9">
        <f>('Item characteristics'!$F$5+B9)/20</f>
        <v>2.85</v>
      </c>
      <c r="F9">
        <f>('Item characteristics'!$F$6+B9)/20</f>
        <v>3.35</v>
      </c>
      <c r="G9">
        <f>('Item characteristics'!$F$7+B9)/20</f>
        <v>2.85</v>
      </c>
      <c r="H9">
        <f>('Item characteristics'!$F$8+B9)/20</f>
        <v>3.35</v>
      </c>
      <c r="I9">
        <f>('Item characteristics'!$F$9+B9)/20</f>
        <v>2.85</v>
      </c>
      <c r="J9">
        <f>('Item characteristics'!$F$10+B9)/20</f>
        <v>2.85</v>
      </c>
      <c r="K9">
        <f>('Item characteristics'!$F$11+B9)/20</f>
        <v>2.85</v>
      </c>
      <c r="L9">
        <f>('Item characteristics'!$F$12+B9)/20</f>
        <v>2.85</v>
      </c>
    </row>
    <row r="10" spans="1:13">
      <c r="A10" t="s">
        <v>7</v>
      </c>
      <c r="B10" s="1">
        <v>20</v>
      </c>
      <c r="C10">
        <f>('Item characteristics'!$F$3+B10)/20</f>
        <v>3.5</v>
      </c>
      <c r="D10">
        <f>('Item characteristics'!$F$4+B10)/20</f>
        <v>4</v>
      </c>
      <c r="E10">
        <f>('Item characteristics'!$F$5+B10)/20</f>
        <v>3.5</v>
      </c>
      <c r="F10">
        <f>('Item characteristics'!$F$6+B10)/20</f>
        <v>4</v>
      </c>
      <c r="G10">
        <f>('Item characteristics'!$F$7+B10)/20</f>
        <v>3.5</v>
      </c>
      <c r="H10">
        <f>('Item characteristics'!$F$8+B10)/20</f>
        <v>4</v>
      </c>
      <c r="I10">
        <f>('Item characteristics'!$F$9+B10)/20</f>
        <v>3.5</v>
      </c>
      <c r="J10">
        <f>('Item characteristics'!$F$10+B10)/20</f>
        <v>3.5</v>
      </c>
      <c r="K10">
        <f>('Item characteristics'!$F$11+B10)/20</f>
        <v>3.5</v>
      </c>
      <c r="L10">
        <f>('Item characteristics'!$F$12+B10)/20</f>
        <v>3.5</v>
      </c>
    </row>
    <row r="11" spans="1:13">
      <c r="A11" t="s">
        <v>8</v>
      </c>
      <c r="B11" s="1">
        <v>30</v>
      </c>
      <c r="C11">
        <f>('Item characteristics'!$F$3+B11)/20</f>
        <v>4</v>
      </c>
      <c r="D11">
        <f>('Item characteristics'!$F$4+B11)/20</f>
        <v>4.5</v>
      </c>
      <c r="E11">
        <f>('Item characteristics'!$F$5+B11)/20</f>
        <v>4</v>
      </c>
      <c r="F11">
        <f>('Item characteristics'!$F$6+B11)/20</f>
        <v>4.5</v>
      </c>
      <c r="G11">
        <f>('Item characteristics'!$F$7+B11)/20</f>
        <v>4</v>
      </c>
      <c r="H11">
        <f>('Item characteristics'!$F$8+B11)/20</f>
        <v>4.5</v>
      </c>
      <c r="I11">
        <f>('Item characteristics'!$F$9+B11)/20</f>
        <v>4</v>
      </c>
      <c r="J11">
        <f>('Item characteristics'!$F$10+B11)/20</f>
        <v>4</v>
      </c>
      <c r="K11">
        <f>('Item characteristics'!$F$11+B11)/20</f>
        <v>4</v>
      </c>
      <c r="L11">
        <f>('Item characteristics'!$F$12+B11)/20</f>
        <v>4</v>
      </c>
    </row>
    <row r="12" spans="1:13">
      <c r="A12" t="s">
        <v>9</v>
      </c>
      <c r="B12" s="1">
        <v>40</v>
      </c>
      <c r="C12">
        <f>('Item characteristics'!$F$3+B12)/20</f>
        <v>4.5</v>
      </c>
      <c r="D12">
        <f>('Item characteristics'!$F$4+B12)/20</f>
        <v>5</v>
      </c>
      <c r="E12">
        <f>('Item characteristics'!$F$5+B12)/20</f>
        <v>4.5</v>
      </c>
      <c r="F12">
        <f>('Item characteristics'!$F$6+B12)/20</f>
        <v>5</v>
      </c>
      <c r="G12">
        <f>('Item characteristics'!$F$7+B12)/20</f>
        <v>4.5</v>
      </c>
      <c r="H12">
        <f>('Item characteristics'!$F$8+B12)/20</f>
        <v>5</v>
      </c>
      <c r="I12">
        <f>('Item characteristics'!$F$9+B12)/20</f>
        <v>4.5</v>
      </c>
      <c r="J12">
        <f>('Item characteristics'!$F$10+B12)/20</f>
        <v>4.5</v>
      </c>
      <c r="K12">
        <f>('Item characteristics'!$F$11+B12)/20</f>
        <v>4.5</v>
      </c>
      <c r="L12">
        <f>('Item characteristics'!$F$12+B12)/20</f>
        <v>4.5</v>
      </c>
    </row>
    <row r="13" spans="1:13">
      <c r="A13" t="s">
        <v>10</v>
      </c>
      <c r="B13" s="1">
        <v>13</v>
      </c>
      <c r="C13">
        <f>('Item characteristics'!$F$3+B13)/20</f>
        <v>3.15</v>
      </c>
      <c r="D13">
        <f>('Item characteristics'!$F$4+B13)/20</f>
        <v>3.65</v>
      </c>
      <c r="E13">
        <f>('Item characteristics'!$F$5+B13)/20</f>
        <v>3.15</v>
      </c>
      <c r="F13">
        <f>('Item characteristics'!$F$6+B13)/20</f>
        <v>3.65</v>
      </c>
      <c r="G13">
        <f>('Item characteristics'!$F$7+B13)/20</f>
        <v>3.15</v>
      </c>
      <c r="H13">
        <f>('Item characteristics'!$F$8+B13)/20</f>
        <v>3.65</v>
      </c>
      <c r="I13">
        <f>('Item characteristics'!$F$9+B13)/20</f>
        <v>3.15</v>
      </c>
      <c r="J13">
        <f>('Item characteristics'!$F$10+B13)/20</f>
        <v>3.15</v>
      </c>
      <c r="K13">
        <f>('Item characteristics'!$F$11+B13)/20</f>
        <v>3.15</v>
      </c>
      <c r="L13">
        <f>('Item characteristics'!$F$12+B13)/20</f>
        <v>3.15</v>
      </c>
    </row>
    <row r="14" spans="1:13">
      <c r="A14" t="s">
        <v>11</v>
      </c>
      <c r="B14" s="1">
        <v>10</v>
      </c>
      <c r="C14">
        <f>('Item characteristics'!$F$3+B14)/20</f>
        <v>3</v>
      </c>
      <c r="D14">
        <f>('Item characteristics'!$F$4+B14)/20</f>
        <v>3.5</v>
      </c>
      <c r="E14">
        <f>('Item characteristics'!$F$5+B14)/20</f>
        <v>3</v>
      </c>
      <c r="F14">
        <f>('Item characteristics'!$F$6+B14)/20</f>
        <v>3.5</v>
      </c>
      <c r="G14">
        <f>('Item characteristics'!$F$7+B14)/20</f>
        <v>3</v>
      </c>
      <c r="H14">
        <f>('Item characteristics'!$F$8+B14)/20</f>
        <v>3.5</v>
      </c>
      <c r="I14">
        <f>('Item characteristics'!$F$9+B14)/20</f>
        <v>3</v>
      </c>
      <c r="J14">
        <f>('Item characteristics'!$F$10+B14)/20</f>
        <v>3</v>
      </c>
      <c r="K14">
        <f>('Item characteristics'!$F$11+B14)/20</f>
        <v>3</v>
      </c>
      <c r="L14">
        <f>('Item characteristics'!$F$12+B14)/20</f>
        <v>3</v>
      </c>
    </row>
    <row r="15" spans="1:13">
      <c r="A15" t="s">
        <v>12</v>
      </c>
      <c r="B15" s="1">
        <v>3</v>
      </c>
      <c r="C15">
        <f>('Item characteristics'!$F$3+B15)/20</f>
        <v>2.65</v>
      </c>
      <c r="D15">
        <f>('Item characteristics'!$F$4+B15)/20</f>
        <v>3.15</v>
      </c>
      <c r="E15">
        <f>('Item characteristics'!$F$5+B15)/20</f>
        <v>2.65</v>
      </c>
      <c r="F15">
        <f>('Item characteristics'!$F$6+B15)/20</f>
        <v>3.15</v>
      </c>
      <c r="G15">
        <f>('Item characteristics'!$F$7+B15)/20</f>
        <v>2.65</v>
      </c>
      <c r="H15">
        <f>('Item characteristics'!$F$8+B15)/20</f>
        <v>3.15</v>
      </c>
      <c r="I15">
        <f>('Item characteristics'!$F$9+B15)/20</f>
        <v>2.65</v>
      </c>
      <c r="J15">
        <f>('Item characteristics'!$F$10+B15)/20</f>
        <v>2.65</v>
      </c>
      <c r="K15">
        <f>('Item characteristics'!$F$11+B15)/20</f>
        <v>2.65</v>
      </c>
      <c r="L15">
        <f>('Item characteristics'!$F$12+B15)/20</f>
        <v>2.65</v>
      </c>
    </row>
    <row r="16" spans="1:13">
      <c r="A16" t="s">
        <v>13</v>
      </c>
      <c r="B16" s="1">
        <v>6</v>
      </c>
      <c r="C16">
        <f>('Item characteristics'!$F$3+B16)/20</f>
        <v>2.8</v>
      </c>
      <c r="D16">
        <f>('Item characteristics'!$F$4+B16)/20</f>
        <v>3.3</v>
      </c>
      <c r="E16">
        <f>('Item characteristics'!$F$5+B16)/20</f>
        <v>2.8</v>
      </c>
      <c r="F16">
        <f>('Item characteristics'!$F$6+B16)/20</f>
        <v>3.3</v>
      </c>
      <c r="G16">
        <f>('Item characteristics'!$F$7+B16)/20</f>
        <v>2.8</v>
      </c>
      <c r="H16">
        <f>('Item characteristics'!$F$8+B16)/20</f>
        <v>3.3</v>
      </c>
      <c r="I16">
        <f>('Item characteristics'!$F$9+B16)/20</f>
        <v>2.8</v>
      </c>
      <c r="J16">
        <f>('Item characteristics'!$F$10+B16)/20</f>
        <v>2.8</v>
      </c>
      <c r="K16">
        <f>('Item characteristics'!$F$11+B16)/20</f>
        <v>2.8</v>
      </c>
      <c r="L16">
        <f>('Item characteristics'!$F$12+B16)/20</f>
        <v>2.8</v>
      </c>
    </row>
    <row r="17" spans="1:24">
      <c r="A17" t="s">
        <v>14</v>
      </c>
      <c r="B17" s="1">
        <v>30</v>
      </c>
      <c r="C17">
        <f>('Item characteristics'!$F$3+B17)/20</f>
        <v>4</v>
      </c>
      <c r="D17">
        <f>('Item characteristics'!$F$4+B17)/20</f>
        <v>4.5</v>
      </c>
      <c r="E17">
        <f>('Item characteristics'!$F$5+B17)/20</f>
        <v>4</v>
      </c>
      <c r="F17">
        <f>('Item characteristics'!$F$6+B17)/20</f>
        <v>4.5</v>
      </c>
      <c r="G17">
        <f>('Item characteristics'!$F$7+B17)/20</f>
        <v>4</v>
      </c>
      <c r="H17">
        <f>('Item characteristics'!$F$8+B17)/20</f>
        <v>4.5</v>
      </c>
      <c r="I17">
        <f>('Item characteristics'!$F$9+B17)/20</f>
        <v>4</v>
      </c>
      <c r="J17">
        <f>('Item characteristics'!$F$10+B17)/20</f>
        <v>4</v>
      </c>
      <c r="K17">
        <f>('Item characteristics'!$F$11+B17)/20</f>
        <v>4</v>
      </c>
      <c r="L17">
        <f>('Item characteristics'!$F$12+B17)/20</f>
        <v>4</v>
      </c>
    </row>
    <row r="18" spans="1:24">
      <c r="A18" t="s">
        <v>15</v>
      </c>
      <c r="B18" s="1">
        <v>17</v>
      </c>
      <c r="C18">
        <f>('Item characteristics'!$F$3+B18)/20</f>
        <v>3.35</v>
      </c>
      <c r="D18">
        <f>('Item characteristics'!$F$4+B18)/20</f>
        <v>3.85</v>
      </c>
      <c r="E18">
        <f>('Item characteristics'!$F$5+B18)/20</f>
        <v>3.35</v>
      </c>
      <c r="F18">
        <f>('Item characteristics'!$F$6+B18)/20</f>
        <v>3.85</v>
      </c>
      <c r="G18">
        <f>('Item characteristics'!$F$7+B18)/20</f>
        <v>3.35</v>
      </c>
      <c r="H18">
        <f>('Item characteristics'!$F$8+B18)/20</f>
        <v>3.85</v>
      </c>
      <c r="I18">
        <f>('Item characteristics'!$F$9+B18)/20</f>
        <v>3.35</v>
      </c>
      <c r="J18">
        <f>('Item characteristics'!$F$10+B18)/20</f>
        <v>3.35</v>
      </c>
      <c r="K18">
        <f>('Item characteristics'!$F$11+B18)/20</f>
        <v>3.35</v>
      </c>
      <c r="L18">
        <f>('Item characteristics'!$F$12+B18)/20</f>
        <v>3.35</v>
      </c>
    </row>
    <row r="19" spans="1:24">
      <c r="A19" t="s">
        <v>16</v>
      </c>
      <c r="B19" s="1">
        <v>15</v>
      </c>
      <c r="C19">
        <f>('Item characteristics'!$F$3+B19)/20</f>
        <v>3.25</v>
      </c>
      <c r="D19">
        <f>('Item characteristics'!$F$4+B19)/20</f>
        <v>3.75</v>
      </c>
      <c r="E19">
        <f>('Item characteristics'!$F$5+B19)/20</f>
        <v>3.25</v>
      </c>
      <c r="F19">
        <f>('Item characteristics'!$F$6+B19)/20</f>
        <v>3.75</v>
      </c>
      <c r="G19">
        <f>('Item characteristics'!$F$7+B19)/20</f>
        <v>3.25</v>
      </c>
      <c r="H19">
        <f>('Item characteristics'!$F$8+B19)/20</f>
        <v>3.75</v>
      </c>
      <c r="I19">
        <f>('Item characteristics'!$F$9+B19)/20</f>
        <v>3.25</v>
      </c>
      <c r="J19">
        <f>('Item characteristics'!$F$10+B19)/20</f>
        <v>3.25</v>
      </c>
      <c r="K19">
        <f>('Item characteristics'!$F$11+B19)/20</f>
        <v>3.25</v>
      </c>
      <c r="L19">
        <f>('Item characteristics'!$F$12+B19)/20</f>
        <v>3.25</v>
      </c>
    </row>
    <row r="20" spans="1:24">
      <c r="A20" t="s">
        <v>17</v>
      </c>
      <c r="B20" s="1">
        <v>10</v>
      </c>
      <c r="C20">
        <f>('Item characteristics'!$F$3+B20)/20</f>
        <v>3</v>
      </c>
      <c r="D20">
        <f>('Item characteristics'!$F$4+B20)/20</f>
        <v>3.5</v>
      </c>
      <c r="E20">
        <f>('Item characteristics'!$F$5+B20)/20</f>
        <v>3</v>
      </c>
      <c r="F20">
        <f>('Item characteristics'!$F$6+B20)/20</f>
        <v>3.5</v>
      </c>
      <c r="G20">
        <f>('Item characteristics'!$F$7+B20)/20</f>
        <v>3</v>
      </c>
      <c r="H20">
        <f>('Item characteristics'!$F$8+B20)/20</f>
        <v>3.5</v>
      </c>
      <c r="I20">
        <f>('Item characteristics'!$F$9+B20)/20</f>
        <v>3</v>
      </c>
      <c r="J20">
        <f>('Item characteristics'!$F$10+B20)/20</f>
        <v>3</v>
      </c>
      <c r="K20">
        <f>('Item characteristics'!$F$11+B20)/20</f>
        <v>3</v>
      </c>
      <c r="L20">
        <f>('Item characteristics'!$F$12+B20)/20</f>
        <v>3</v>
      </c>
    </row>
    <row r="21" spans="1:24">
      <c r="A21" t="s">
        <v>18</v>
      </c>
      <c r="B21" s="1">
        <v>4</v>
      </c>
      <c r="C21">
        <f>('Item characteristics'!$F$3+B21)/20</f>
        <v>2.7</v>
      </c>
      <c r="D21">
        <f>('Item characteristics'!$F$4+B21)/20</f>
        <v>3.2</v>
      </c>
      <c r="E21">
        <f>('Item characteristics'!$F$5+B21)/20</f>
        <v>2.7</v>
      </c>
      <c r="F21">
        <f>('Item characteristics'!$F$6+B21)/20</f>
        <v>3.2</v>
      </c>
      <c r="G21">
        <f>('Item characteristics'!$F$7+B21)/20</f>
        <v>2.7</v>
      </c>
      <c r="H21">
        <f>('Item characteristics'!$F$8+B21)/20</f>
        <v>3.2</v>
      </c>
      <c r="I21">
        <f>('Item characteristics'!$F$9+B21)/20</f>
        <v>2.7</v>
      </c>
      <c r="J21">
        <f>('Item characteristics'!$F$10+B21)/20</f>
        <v>2.7</v>
      </c>
      <c r="K21">
        <f>('Item characteristics'!$F$11+B21)/20</f>
        <v>2.7</v>
      </c>
      <c r="L21">
        <f>('Item characteristics'!$F$12+B21)/20</f>
        <v>2.7</v>
      </c>
    </row>
    <row r="22" spans="1:24">
      <c r="A22" t="s">
        <v>19</v>
      </c>
      <c r="B22" s="1">
        <v>0</v>
      </c>
      <c r="C22" s="16">
        <v>0</v>
      </c>
      <c r="D22" s="16">
        <v>0</v>
      </c>
      <c r="E22" s="16">
        <v>0</v>
      </c>
      <c r="F22" s="16">
        <v>0</v>
      </c>
      <c r="G22" s="16">
        <v>0</v>
      </c>
      <c r="H22" s="16">
        <v>0</v>
      </c>
      <c r="I22" s="16">
        <v>0</v>
      </c>
      <c r="J22" s="16">
        <v>0</v>
      </c>
      <c r="K22" s="16">
        <v>0</v>
      </c>
      <c r="L22" s="16">
        <v>0</v>
      </c>
    </row>
    <row r="31" spans="1:24">
      <c r="O31" s="16"/>
      <c r="P31" s="16"/>
      <c r="Q31" s="16"/>
      <c r="R31" s="16"/>
      <c r="S31" s="16"/>
      <c r="T31" s="16"/>
      <c r="U31" s="16"/>
      <c r="V31" s="16"/>
      <c r="W31" s="16"/>
      <c r="X31" s="16"/>
    </row>
    <row r="33" spans="34:34">
      <c r="AH33" s="16"/>
    </row>
    <row r="34" spans="34:34">
      <c r="AH34" s="16"/>
    </row>
    <row r="35" spans="34:34">
      <c r="AH35" s="16"/>
    </row>
    <row r="36" spans="34:34">
      <c r="AH36" s="16"/>
    </row>
    <row r="37" spans="34:34">
      <c r="AH37" s="16"/>
    </row>
    <row r="38" spans="34:34">
      <c r="AH38" s="16"/>
    </row>
    <row r="39" spans="34:34">
      <c r="AH39" s="16"/>
    </row>
    <row r="40" spans="34:34">
      <c r="AH40" s="16"/>
    </row>
    <row r="41" spans="34:34">
      <c r="AH41" s="16"/>
    </row>
    <row r="42" spans="34:34">
      <c r="AH42" s="16"/>
    </row>
    <row r="52" spans="15:24">
      <c r="O52" s="16"/>
      <c r="P52" s="16"/>
      <c r="Q52" s="16"/>
      <c r="R52" s="16"/>
      <c r="S52" s="16"/>
      <c r="T52" s="16"/>
      <c r="U52" s="16"/>
      <c r="V52" s="16"/>
      <c r="W52" s="16"/>
      <c r="X52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FE855-BBB5-4219-BB51-343CE96B9B49}">
  <dimension ref="A1:AR49"/>
  <sheetViews>
    <sheetView zoomScale="85" zoomScaleNormal="85" workbookViewId="0">
      <selection activeCell="G28" sqref="G28"/>
    </sheetView>
  </sheetViews>
  <sheetFormatPr defaultRowHeight="14.4"/>
  <cols>
    <col min="2" max="2" width="9.33203125" bestFit="1" customWidth="1"/>
    <col min="3" max="4" width="10.109375" bestFit="1" customWidth="1"/>
    <col min="5" max="5" width="11.44140625" bestFit="1" customWidth="1"/>
    <col min="6" max="6" width="13.6640625" bestFit="1" customWidth="1"/>
    <col min="7" max="7" width="9.6640625" bestFit="1" customWidth="1"/>
    <col min="24" max="24" width="11.6640625" bestFit="1" customWidth="1"/>
    <col min="37" max="38" width="10.6640625" bestFit="1" customWidth="1"/>
  </cols>
  <sheetData>
    <row r="1" spans="1:38">
      <c r="A1" s="16" t="s">
        <v>124</v>
      </c>
      <c r="B1" s="4" t="s">
        <v>20</v>
      </c>
      <c r="C1" s="4" t="s">
        <v>21</v>
      </c>
      <c r="D1" s="4" t="s">
        <v>22</v>
      </c>
      <c r="E1" s="4" t="s">
        <v>23</v>
      </c>
      <c r="F1" s="4" t="s">
        <v>24</v>
      </c>
      <c r="G1" s="4" t="s">
        <v>25</v>
      </c>
      <c r="H1" s="4" t="s">
        <v>26</v>
      </c>
      <c r="I1" s="4" t="s">
        <v>27</v>
      </c>
      <c r="J1" s="4" t="s">
        <v>28</v>
      </c>
      <c r="K1" s="4" t="s">
        <v>29</v>
      </c>
      <c r="M1" s="17" t="s">
        <v>125</v>
      </c>
      <c r="X1" s="17" t="s">
        <v>126</v>
      </c>
    </row>
    <row r="2" spans="1:38"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M2" s="4" t="s">
        <v>20</v>
      </c>
      <c r="N2" s="4" t="s">
        <v>21</v>
      </c>
      <c r="O2" s="4" t="s">
        <v>22</v>
      </c>
      <c r="P2" s="4" t="s">
        <v>23</v>
      </c>
      <c r="Q2" s="4" t="s">
        <v>24</v>
      </c>
      <c r="R2" s="4" t="s">
        <v>25</v>
      </c>
      <c r="S2" s="4" t="s">
        <v>26</v>
      </c>
      <c r="T2" s="4" t="s">
        <v>27</v>
      </c>
      <c r="U2" s="4" t="s">
        <v>28</v>
      </c>
      <c r="V2" s="4" t="s">
        <v>29</v>
      </c>
      <c r="X2" s="4" t="s">
        <v>20</v>
      </c>
      <c r="Y2" s="4" t="s">
        <v>21</v>
      </c>
      <c r="Z2" s="4" t="s">
        <v>22</v>
      </c>
      <c r="AA2" s="4" t="s">
        <v>23</v>
      </c>
      <c r="AB2" s="4" t="s">
        <v>24</v>
      </c>
      <c r="AC2" s="4" t="s">
        <v>25</v>
      </c>
      <c r="AD2" s="4" t="s">
        <v>26</v>
      </c>
      <c r="AE2" s="4" t="s">
        <v>27</v>
      </c>
      <c r="AF2" s="4" t="s">
        <v>28</v>
      </c>
      <c r="AG2" s="4" t="s">
        <v>29</v>
      </c>
    </row>
    <row r="3" spans="1:38">
      <c r="A3" t="s">
        <v>128</v>
      </c>
      <c r="B3" s="6">
        <v>7923.5999999999913</v>
      </c>
      <c r="C3" s="6">
        <v>44295.333333333336</v>
      </c>
      <c r="D3" s="6">
        <v>2241448.6666666665</v>
      </c>
      <c r="E3" s="6">
        <v>3567740.3333333335</v>
      </c>
      <c r="F3" s="6">
        <v>164060.39565217393</v>
      </c>
      <c r="G3" s="6">
        <v>2352168.6666666665</v>
      </c>
      <c r="H3" s="6">
        <v>1255.4356500000001</v>
      </c>
      <c r="I3" s="6">
        <v>5784.2559999999994</v>
      </c>
      <c r="J3" s="6">
        <f>I3*2</f>
        <v>11568.511999999999</v>
      </c>
      <c r="K3" s="19">
        <v>21160.041000000005</v>
      </c>
      <c r="M3" s="4"/>
      <c r="N3" s="4"/>
      <c r="O3" s="4"/>
      <c r="P3" s="4"/>
      <c r="Q3" s="4"/>
      <c r="R3" s="4"/>
      <c r="S3" s="4"/>
      <c r="T3" s="4"/>
      <c r="U3" s="4"/>
      <c r="V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 spans="1:38">
      <c r="A4" t="s">
        <v>129</v>
      </c>
      <c r="B4" s="6">
        <v>8555.5555555555457</v>
      </c>
      <c r="C4" s="6">
        <v>46340</v>
      </c>
      <c r="D4" s="6">
        <v>2275979</v>
      </c>
      <c r="E4" s="6">
        <v>3895625</v>
      </c>
      <c r="F4" s="6">
        <v>192286.95652173916</v>
      </c>
      <c r="G4" s="6">
        <v>2388775</v>
      </c>
      <c r="H4" s="6">
        <v>1483.9160000000002</v>
      </c>
      <c r="I4" s="6">
        <v>6386.04</v>
      </c>
      <c r="J4" s="6">
        <f>I4*2</f>
        <v>12772.08</v>
      </c>
      <c r="K4" s="19">
        <v>27828.368750000001</v>
      </c>
      <c r="M4" s="4"/>
      <c r="N4" s="4"/>
      <c r="O4" s="4"/>
      <c r="P4" s="4"/>
      <c r="Q4" s="4"/>
      <c r="R4" s="4"/>
      <c r="S4" s="4"/>
      <c r="T4" s="4"/>
      <c r="U4" s="4"/>
      <c r="V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 spans="1:38">
      <c r="A5" t="s">
        <v>130</v>
      </c>
      <c r="B5" s="6">
        <v>7247.3333333333258</v>
      </c>
      <c r="C5" s="6">
        <v>42839</v>
      </c>
      <c r="D5" s="6">
        <v>2208206</v>
      </c>
      <c r="E5" s="6">
        <v>2957218</v>
      </c>
      <c r="F5" s="6">
        <v>148648.50000000003</v>
      </c>
      <c r="G5" s="6">
        <v>2282678</v>
      </c>
      <c r="H5" s="6">
        <v>1089.2070000000001</v>
      </c>
      <c r="I5" s="6">
        <v>5096</v>
      </c>
      <c r="J5" s="6">
        <f>I5*2</f>
        <v>10192</v>
      </c>
      <c r="K5" s="19">
        <v>17293.237499999999</v>
      </c>
      <c r="M5" s="4"/>
      <c r="N5" s="4"/>
      <c r="O5" s="4"/>
      <c r="P5" s="4"/>
      <c r="Q5" s="4"/>
      <c r="R5" s="4"/>
      <c r="S5" s="4"/>
      <c r="T5" s="4"/>
      <c r="U5" s="4"/>
      <c r="V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 spans="1:38">
      <c r="A6" t="s">
        <v>131</v>
      </c>
      <c r="B6" s="1">
        <f>B4/B3</f>
        <v>1.0797561153459987</v>
      </c>
      <c r="C6" s="1">
        <f t="shared" ref="C6:K6" si="0">C4/C3</f>
        <v>1.0461598663516096</v>
      </c>
      <c r="D6" s="1">
        <f t="shared" si="0"/>
        <v>1.0154053643283674</v>
      </c>
      <c r="E6" s="1">
        <f t="shared" si="0"/>
        <v>1.0919026151099749</v>
      </c>
      <c r="F6" s="1">
        <f t="shared" si="0"/>
        <v>1.1720498159068728</v>
      </c>
      <c r="G6" s="1">
        <f t="shared" si="0"/>
        <v>1.0155628011936786</v>
      </c>
      <c r="H6" s="1">
        <f t="shared" si="0"/>
        <v>1.1819928803200705</v>
      </c>
      <c r="I6" s="1">
        <f t="shared" si="0"/>
        <v>1.1040382721649942</v>
      </c>
      <c r="J6" s="1">
        <f t="shared" si="0"/>
        <v>1.1040382721649942</v>
      </c>
      <c r="K6" s="15">
        <f t="shared" si="0"/>
        <v>1.3151377518597434</v>
      </c>
      <c r="M6" s="4"/>
      <c r="N6" s="4"/>
      <c r="O6" s="4"/>
      <c r="P6" s="4"/>
      <c r="Q6" s="4"/>
      <c r="R6" s="4"/>
      <c r="S6" s="4"/>
      <c r="T6" s="4"/>
      <c r="U6" s="4"/>
      <c r="V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 spans="1:38">
      <c r="A7" t="s">
        <v>132</v>
      </c>
      <c r="B7" s="1">
        <f>B5/B3</f>
        <v>0.91465158934491064</v>
      </c>
      <c r="C7" s="1">
        <f t="shared" ref="C7:K7" si="1">C5/C3</f>
        <v>0.96712219496410456</v>
      </c>
      <c r="D7" s="1">
        <f t="shared" si="1"/>
        <v>0.98516911533106721</v>
      </c>
      <c r="E7" s="1">
        <f t="shared" si="1"/>
        <v>0.8288770268314557</v>
      </c>
      <c r="F7" s="1">
        <f t="shared" si="1"/>
        <v>0.90605962157467412</v>
      </c>
      <c r="G7" s="1">
        <f t="shared" si="1"/>
        <v>0.97045676713092865</v>
      </c>
      <c r="H7" s="1">
        <f t="shared" si="1"/>
        <v>0.86759285511766371</v>
      </c>
      <c r="I7" s="1">
        <f t="shared" si="1"/>
        <v>0.88101218203343701</v>
      </c>
      <c r="J7" s="1">
        <f t="shared" si="1"/>
        <v>0.88101218203343701</v>
      </c>
      <c r="K7" s="15">
        <f t="shared" si="1"/>
        <v>0.81725916788157427</v>
      </c>
      <c r="M7" s="4"/>
      <c r="N7" s="4"/>
      <c r="O7" s="4"/>
      <c r="P7" s="4"/>
      <c r="Q7" s="4"/>
      <c r="R7" s="4"/>
      <c r="S7" s="4"/>
      <c r="T7" s="4"/>
      <c r="U7" s="4"/>
      <c r="V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 spans="1:38">
      <c r="A8" t="s">
        <v>0</v>
      </c>
      <c r="B8" s="18">
        <f>AI30</f>
        <v>0</v>
      </c>
      <c r="C8" s="18">
        <f t="shared" ref="C8:K23" si="2">AJ30</f>
        <v>0</v>
      </c>
      <c r="D8" s="18">
        <f t="shared" si="2"/>
        <v>250479.84799170116</v>
      </c>
      <c r="E8" s="18">
        <f t="shared" si="2"/>
        <v>0</v>
      </c>
      <c r="F8" s="18">
        <f t="shared" si="2"/>
        <v>13967.082342810016</v>
      </c>
      <c r="G8" s="18">
        <f t="shared" si="2"/>
        <v>365108.99327839573</v>
      </c>
      <c r="H8" s="18">
        <f t="shared" si="2"/>
        <v>31.31986321542297</v>
      </c>
      <c r="I8" s="18">
        <f t="shared" si="2"/>
        <v>0</v>
      </c>
      <c r="J8" s="18">
        <f t="shared" si="2"/>
        <v>0</v>
      </c>
      <c r="K8" s="18">
        <f t="shared" si="2"/>
        <v>0</v>
      </c>
      <c r="M8" cm="1">
        <f t="array" aca="1" ref="M8:V21" ca="1">_xlfn.RANDARRAY(14,10,0,1,TRUE)</f>
        <v>0</v>
      </c>
      <c r="N8">
        <f ca="1"/>
        <v>1</v>
      </c>
      <c r="O8">
        <f ca="1"/>
        <v>1</v>
      </c>
      <c r="P8">
        <f ca="1"/>
        <v>1</v>
      </c>
      <c r="Q8">
        <f ca="1"/>
        <v>0</v>
      </c>
      <c r="R8">
        <f ca="1"/>
        <v>0</v>
      </c>
      <c r="S8">
        <f ca="1"/>
        <v>1</v>
      </c>
      <c r="T8">
        <f ca="1"/>
        <v>0</v>
      </c>
      <c r="U8">
        <f ca="1"/>
        <v>0</v>
      </c>
      <c r="V8">
        <f ca="1"/>
        <v>1</v>
      </c>
      <c r="X8" s="5">
        <f ca="1">IF(M8=1,RAND(),0)</f>
        <v>0</v>
      </c>
      <c r="Y8" s="5">
        <f t="shared" ref="Y8:AG23" ca="1" si="3">IF(N8=1,RAND(),0)</f>
        <v>0.56451485939627877</v>
      </c>
      <c r="Z8" s="5">
        <f t="shared" ca="1" si="3"/>
        <v>0.64412123334470128</v>
      </c>
      <c r="AA8" s="5">
        <f t="shared" ca="1" si="3"/>
        <v>1.8956328022674551E-2</v>
      </c>
      <c r="AB8" s="5">
        <f t="shared" ca="1" si="3"/>
        <v>0</v>
      </c>
      <c r="AC8" s="5">
        <f t="shared" ca="1" si="3"/>
        <v>0</v>
      </c>
      <c r="AD8" s="5">
        <f t="shared" ca="1" si="3"/>
        <v>0.51640283906440154</v>
      </c>
      <c r="AE8" s="5">
        <f t="shared" ca="1" si="3"/>
        <v>0</v>
      </c>
      <c r="AF8" s="5">
        <f t="shared" ca="1" si="3"/>
        <v>0</v>
      </c>
      <c r="AG8" s="5">
        <f t="shared" ca="1" si="3"/>
        <v>0.71900292743569039</v>
      </c>
    </row>
    <row r="9" spans="1:38">
      <c r="A9" t="s">
        <v>1</v>
      </c>
      <c r="B9" s="18">
        <f t="shared" ref="B9:B26" si="4">AI31</f>
        <v>422.35463319961781</v>
      </c>
      <c r="C9" s="18">
        <f t="shared" si="2"/>
        <v>11328.073569254806</v>
      </c>
      <c r="D9" s="18">
        <f t="shared" si="2"/>
        <v>0</v>
      </c>
      <c r="E9" s="18">
        <f t="shared" si="2"/>
        <v>647535.14555266348</v>
      </c>
      <c r="F9" s="18">
        <f t="shared" si="2"/>
        <v>0</v>
      </c>
      <c r="G9" s="18">
        <f t="shared" si="2"/>
        <v>0</v>
      </c>
      <c r="H9" s="18">
        <f t="shared" si="2"/>
        <v>0</v>
      </c>
      <c r="I9" s="18">
        <f t="shared" si="2"/>
        <v>0</v>
      </c>
      <c r="J9" s="18">
        <f t="shared" si="2"/>
        <v>0</v>
      </c>
      <c r="K9" s="18">
        <f t="shared" si="2"/>
        <v>0</v>
      </c>
      <c r="M9">
        <f ca="1"/>
        <v>1</v>
      </c>
      <c r="N9">
        <f ca="1"/>
        <v>1</v>
      </c>
      <c r="O9">
        <f ca="1"/>
        <v>0</v>
      </c>
      <c r="P9">
        <f ca="1"/>
        <v>1</v>
      </c>
      <c r="Q9">
        <f ca="1"/>
        <v>1</v>
      </c>
      <c r="R9">
        <f ca="1"/>
        <v>0</v>
      </c>
      <c r="S9">
        <f ca="1"/>
        <v>1</v>
      </c>
      <c r="T9">
        <f ca="1"/>
        <v>1</v>
      </c>
      <c r="U9">
        <f ca="1"/>
        <v>1</v>
      </c>
      <c r="V9">
        <f ca="1"/>
        <v>1</v>
      </c>
      <c r="X9" s="5">
        <f t="shared" ref="X9:X27" ca="1" si="5">IF(M9=1,RAND(),0)</f>
        <v>0.29614425517642085</v>
      </c>
      <c r="Y9" s="5">
        <f t="shared" ca="1" si="3"/>
        <v>0.12641170387857636</v>
      </c>
      <c r="Z9" s="5">
        <f t="shared" ca="1" si="3"/>
        <v>0</v>
      </c>
      <c r="AA9" s="5">
        <f t="shared" ca="1" si="3"/>
        <v>0.84314014115295088</v>
      </c>
      <c r="AB9" s="5">
        <f t="shared" ca="1" si="3"/>
        <v>0.1733784916876947</v>
      </c>
      <c r="AC9" s="5">
        <f t="shared" ca="1" si="3"/>
        <v>0</v>
      </c>
      <c r="AD9" s="5">
        <f t="shared" ca="1" si="3"/>
        <v>0.57985162900809306</v>
      </c>
      <c r="AE9" s="5">
        <f t="shared" ca="1" si="3"/>
        <v>0.59589948980174789</v>
      </c>
      <c r="AF9" s="5">
        <f t="shared" ca="1" si="3"/>
        <v>0.7867767063019856</v>
      </c>
      <c r="AG9" s="5">
        <f t="shared" ca="1" si="3"/>
        <v>0.45002115024412492</v>
      </c>
    </row>
    <row r="10" spans="1:38">
      <c r="A10" t="s">
        <v>2</v>
      </c>
      <c r="B10" s="18">
        <f t="shared" si="4"/>
        <v>411.31749899262718</v>
      </c>
      <c r="C10" s="18">
        <f t="shared" si="2"/>
        <v>0</v>
      </c>
      <c r="D10" s="18">
        <f t="shared" si="2"/>
        <v>0</v>
      </c>
      <c r="E10" s="18">
        <f t="shared" si="2"/>
        <v>188258.35686871951</v>
      </c>
      <c r="F10" s="18">
        <f t="shared" si="2"/>
        <v>39449.895842354374</v>
      </c>
      <c r="G10" s="18">
        <f t="shared" si="2"/>
        <v>0</v>
      </c>
      <c r="H10" s="18">
        <f t="shared" si="2"/>
        <v>0</v>
      </c>
      <c r="I10" s="18">
        <f t="shared" si="2"/>
        <v>0</v>
      </c>
      <c r="J10" s="18">
        <f t="shared" si="2"/>
        <v>0</v>
      </c>
      <c r="K10" s="18">
        <f t="shared" si="2"/>
        <v>0</v>
      </c>
      <c r="M10">
        <f ca="1"/>
        <v>0</v>
      </c>
      <c r="N10">
        <f ca="1"/>
        <v>1</v>
      </c>
      <c r="O10">
        <f ca="1"/>
        <v>0</v>
      </c>
      <c r="P10">
        <f ca="1"/>
        <v>0</v>
      </c>
      <c r="Q10">
        <f ca="1"/>
        <v>1</v>
      </c>
      <c r="R10">
        <f ca="1"/>
        <v>0</v>
      </c>
      <c r="S10">
        <f ca="1"/>
        <v>1</v>
      </c>
      <c r="T10">
        <f ca="1"/>
        <v>0</v>
      </c>
      <c r="U10">
        <f ca="1"/>
        <v>1</v>
      </c>
      <c r="V10">
        <f ca="1"/>
        <v>0</v>
      </c>
      <c r="X10" s="5">
        <f t="shared" ca="1" si="5"/>
        <v>0</v>
      </c>
      <c r="Y10" s="5">
        <f t="shared" ca="1" si="3"/>
        <v>0.43922684243322763</v>
      </c>
      <c r="Z10" s="5">
        <f t="shared" ca="1" si="3"/>
        <v>0</v>
      </c>
      <c r="AA10" s="5">
        <f t="shared" ca="1" si="3"/>
        <v>0</v>
      </c>
      <c r="AB10" s="5">
        <f t="shared" ca="1" si="3"/>
        <v>0.62152821845130968</v>
      </c>
      <c r="AC10" s="5">
        <f t="shared" ca="1" si="3"/>
        <v>0</v>
      </c>
      <c r="AD10" s="5">
        <f t="shared" ca="1" si="3"/>
        <v>0.79541009984241262</v>
      </c>
      <c r="AE10" s="5">
        <f t="shared" ca="1" si="3"/>
        <v>0</v>
      </c>
      <c r="AF10" s="5">
        <f t="shared" ca="1" si="3"/>
        <v>1.5229980219725325E-2</v>
      </c>
      <c r="AG10" s="5">
        <f t="shared" ca="1" si="3"/>
        <v>0</v>
      </c>
    </row>
    <row r="11" spans="1:38">
      <c r="A11" t="s">
        <v>3</v>
      </c>
      <c r="B11" s="18">
        <f t="shared" si="4"/>
        <v>0</v>
      </c>
      <c r="C11" s="18">
        <f t="shared" si="2"/>
        <v>0</v>
      </c>
      <c r="D11" s="18">
        <f t="shared" si="2"/>
        <v>0</v>
      </c>
      <c r="E11" s="18">
        <f t="shared" si="2"/>
        <v>0</v>
      </c>
      <c r="F11" s="18">
        <f t="shared" si="2"/>
        <v>39006.334648619086</v>
      </c>
      <c r="G11" s="18">
        <f t="shared" si="2"/>
        <v>1014388.5253010313</v>
      </c>
      <c r="H11" s="18">
        <f t="shared" si="2"/>
        <v>227.91764748795393</v>
      </c>
      <c r="I11" s="18">
        <f t="shared" si="2"/>
        <v>0</v>
      </c>
      <c r="J11" s="18">
        <f t="shared" si="2"/>
        <v>0</v>
      </c>
      <c r="K11" s="18">
        <f t="shared" si="2"/>
        <v>0</v>
      </c>
      <c r="M11">
        <f ca="1"/>
        <v>0</v>
      </c>
      <c r="N11">
        <f ca="1"/>
        <v>0</v>
      </c>
      <c r="O11">
        <f ca="1"/>
        <v>0</v>
      </c>
      <c r="P11">
        <f ca="1"/>
        <v>1</v>
      </c>
      <c r="Q11">
        <f ca="1"/>
        <v>1</v>
      </c>
      <c r="R11">
        <f ca="1"/>
        <v>1</v>
      </c>
      <c r="S11">
        <f ca="1"/>
        <v>1</v>
      </c>
      <c r="T11">
        <f ca="1"/>
        <v>0</v>
      </c>
      <c r="U11">
        <f ca="1"/>
        <v>1</v>
      </c>
      <c r="V11">
        <f ca="1"/>
        <v>0</v>
      </c>
      <c r="X11" s="5">
        <f t="shared" ca="1" si="5"/>
        <v>0</v>
      </c>
      <c r="Y11" s="5">
        <f t="shared" ca="1" si="3"/>
        <v>0</v>
      </c>
      <c r="Z11" s="5">
        <f t="shared" ca="1" si="3"/>
        <v>0</v>
      </c>
      <c r="AA11" s="5">
        <f t="shared" ca="1" si="3"/>
        <v>0.81063278324618016</v>
      </c>
      <c r="AB11" s="5">
        <f t="shared" ca="1" si="3"/>
        <v>5.4662930699538648E-2</v>
      </c>
      <c r="AC11" s="5">
        <f t="shared" ca="1" si="3"/>
        <v>0.30854017721184979</v>
      </c>
      <c r="AD11" s="5">
        <f t="shared" ca="1" si="3"/>
        <v>3.8145441488913967E-2</v>
      </c>
      <c r="AE11" s="5">
        <f t="shared" ca="1" si="3"/>
        <v>0</v>
      </c>
      <c r="AF11" s="5">
        <f t="shared" ca="1" si="3"/>
        <v>0.68646339313661664</v>
      </c>
      <c r="AG11" s="5">
        <f t="shared" ca="1" si="3"/>
        <v>0</v>
      </c>
    </row>
    <row r="12" spans="1:38">
      <c r="A12" t="s">
        <v>4</v>
      </c>
      <c r="B12" s="18">
        <f t="shared" si="4"/>
        <v>333.00939806366921</v>
      </c>
      <c r="C12" s="18">
        <f t="shared" si="2"/>
        <v>0</v>
      </c>
      <c r="D12" s="18">
        <f t="shared" si="2"/>
        <v>329334.28073228349</v>
      </c>
      <c r="E12" s="18">
        <f t="shared" si="2"/>
        <v>641514.14554380556</v>
      </c>
      <c r="F12" s="18">
        <f t="shared" si="2"/>
        <v>11630.513070511934</v>
      </c>
      <c r="G12" s="18">
        <f t="shared" si="2"/>
        <v>0</v>
      </c>
      <c r="H12" s="18">
        <f t="shared" si="2"/>
        <v>0</v>
      </c>
      <c r="I12" s="18">
        <f t="shared" si="2"/>
        <v>0</v>
      </c>
      <c r="J12" s="18">
        <f t="shared" si="2"/>
        <v>155.62829017806206</v>
      </c>
      <c r="K12" s="18">
        <f t="shared" si="2"/>
        <v>0</v>
      </c>
      <c r="M12">
        <f ca="1"/>
        <v>1</v>
      </c>
      <c r="N12">
        <f ca="1"/>
        <v>1</v>
      </c>
      <c r="O12">
        <f ca="1"/>
        <v>1</v>
      </c>
      <c r="P12">
        <f ca="1"/>
        <v>1</v>
      </c>
      <c r="Q12">
        <f ca="1"/>
        <v>1</v>
      </c>
      <c r="R12">
        <f ca="1"/>
        <v>1</v>
      </c>
      <c r="S12">
        <f ca="1"/>
        <v>1</v>
      </c>
      <c r="T12">
        <f ca="1"/>
        <v>0</v>
      </c>
      <c r="U12">
        <f ca="1"/>
        <v>0</v>
      </c>
      <c r="V12">
        <f ca="1"/>
        <v>0</v>
      </c>
      <c r="X12" s="5">
        <f t="shared" ca="1" si="5"/>
        <v>0.82211597705580397</v>
      </c>
      <c r="Y12" s="5">
        <f t="shared" ca="1" si="3"/>
        <v>0.46970293443447664</v>
      </c>
      <c r="Z12" s="5">
        <f t="shared" ca="1" si="3"/>
        <v>0.38510903874868818</v>
      </c>
      <c r="AA12" s="5">
        <f t="shared" ca="1" si="3"/>
        <v>0.67078612020659201</v>
      </c>
      <c r="AB12" s="5">
        <f t="shared" ca="1" si="3"/>
        <v>0.43814824384870288</v>
      </c>
      <c r="AC12" s="5">
        <f t="shared" ca="1" si="3"/>
        <v>0.71731952148821376</v>
      </c>
      <c r="AD12" s="5">
        <f t="shared" ca="1" si="3"/>
        <v>0.97108341744609628</v>
      </c>
      <c r="AE12" s="5">
        <f t="shared" ca="1" si="3"/>
        <v>0</v>
      </c>
      <c r="AF12" s="5">
        <f t="shared" ca="1" si="3"/>
        <v>0</v>
      </c>
      <c r="AG12" s="5">
        <f t="shared" ca="1" si="3"/>
        <v>0</v>
      </c>
    </row>
    <row r="13" spans="1:38">
      <c r="A13" t="s">
        <v>5</v>
      </c>
      <c r="B13" s="18">
        <f t="shared" si="4"/>
        <v>1376.632162204505</v>
      </c>
      <c r="C13" s="18">
        <f t="shared" si="2"/>
        <v>12816.909576631362</v>
      </c>
      <c r="D13" s="18">
        <f t="shared" si="2"/>
        <v>67456.309064639907</v>
      </c>
      <c r="E13" s="18">
        <f t="shared" si="2"/>
        <v>305213.55913699884</v>
      </c>
      <c r="F13" s="18">
        <f t="shared" si="2"/>
        <v>0</v>
      </c>
      <c r="G13" s="18">
        <f t="shared" si="2"/>
        <v>72226.330361657718</v>
      </c>
      <c r="H13" s="18">
        <f t="shared" si="2"/>
        <v>150.58596180906676</v>
      </c>
      <c r="I13" s="18">
        <f t="shared" si="2"/>
        <v>0</v>
      </c>
      <c r="J13" s="18">
        <f t="shared" si="2"/>
        <v>0</v>
      </c>
      <c r="K13" s="18">
        <f t="shared" si="2"/>
        <v>0</v>
      </c>
      <c r="M13">
        <f ca="1"/>
        <v>1</v>
      </c>
      <c r="N13">
        <f ca="1"/>
        <v>1</v>
      </c>
      <c r="O13">
        <f ca="1"/>
        <v>1</v>
      </c>
      <c r="P13">
        <f ca="1"/>
        <v>1</v>
      </c>
      <c r="Q13">
        <f ca="1"/>
        <v>1</v>
      </c>
      <c r="R13">
        <f ca="1"/>
        <v>0</v>
      </c>
      <c r="S13">
        <f ca="1"/>
        <v>1</v>
      </c>
      <c r="T13">
        <f ca="1"/>
        <v>1</v>
      </c>
      <c r="U13">
        <f ca="1"/>
        <v>0</v>
      </c>
      <c r="V13">
        <f ca="1"/>
        <v>1</v>
      </c>
      <c r="X13" s="5">
        <f t="shared" ca="1" si="5"/>
        <v>0.22790427354256826</v>
      </c>
      <c r="Y13" s="5">
        <f t="shared" ca="1" si="3"/>
        <v>0.21339218554700912</v>
      </c>
      <c r="Z13" s="5">
        <f t="shared" ca="1" si="3"/>
        <v>0.54005934670298483</v>
      </c>
      <c r="AA13" s="5">
        <f t="shared" ca="1" si="3"/>
        <v>0.24825309682279983</v>
      </c>
      <c r="AB13" s="5">
        <f t="shared" ca="1" si="3"/>
        <v>0.20765723584094842</v>
      </c>
      <c r="AC13" s="5">
        <f t="shared" ca="1" si="3"/>
        <v>0</v>
      </c>
      <c r="AD13" s="5">
        <f t="shared" ca="1" si="3"/>
        <v>0.9632795776015628</v>
      </c>
      <c r="AE13" s="5">
        <f t="shared" ca="1" si="3"/>
        <v>0.54029737274698197</v>
      </c>
      <c r="AF13" s="5">
        <f t="shared" ca="1" si="3"/>
        <v>0</v>
      </c>
      <c r="AG13" s="5">
        <f t="shared" ca="1" si="3"/>
        <v>0.21018828077534824</v>
      </c>
      <c r="AI13" s="4"/>
      <c r="AJ13" s="6"/>
      <c r="AK13" s="6"/>
      <c r="AL13" s="6"/>
    </row>
    <row r="14" spans="1:38">
      <c r="A14" t="s">
        <v>6</v>
      </c>
      <c r="B14" s="18">
        <f t="shared" si="4"/>
        <v>0</v>
      </c>
      <c r="C14" s="18">
        <f t="shared" si="2"/>
        <v>0</v>
      </c>
      <c r="D14" s="18">
        <f t="shared" si="2"/>
        <v>136722.61316637258</v>
      </c>
      <c r="E14" s="18">
        <f t="shared" si="2"/>
        <v>323925.94907266711</v>
      </c>
      <c r="F14" s="18">
        <f t="shared" si="2"/>
        <v>0</v>
      </c>
      <c r="G14" s="18">
        <f t="shared" si="2"/>
        <v>0</v>
      </c>
      <c r="H14" s="18">
        <f t="shared" si="2"/>
        <v>68.187830864501208</v>
      </c>
      <c r="I14" s="18">
        <f t="shared" si="2"/>
        <v>0</v>
      </c>
      <c r="J14" s="18">
        <f t="shared" si="2"/>
        <v>0</v>
      </c>
      <c r="K14" s="18">
        <f t="shared" si="2"/>
        <v>0</v>
      </c>
      <c r="M14">
        <f ca="1"/>
        <v>0</v>
      </c>
      <c r="N14">
        <f ca="1"/>
        <v>1</v>
      </c>
      <c r="O14">
        <f ca="1"/>
        <v>1</v>
      </c>
      <c r="P14">
        <f ca="1"/>
        <v>1</v>
      </c>
      <c r="Q14">
        <f ca="1"/>
        <v>0</v>
      </c>
      <c r="R14">
        <f ca="1"/>
        <v>0</v>
      </c>
      <c r="S14">
        <f ca="1"/>
        <v>1</v>
      </c>
      <c r="T14">
        <f ca="1"/>
        <v>0</v>
      </c>
      <c r="U14">
        <f ca="1"/>
        <v>1</v>
      </c>
      <c r="V14">
        <f ca="1"/>
        <v>0</v>
      </c>
      <c r="X14" s="5">
        <f t="shared" ca="1" si="5"/>
        <v>0</v>
      </c>
      <c r="Y14" s="5">
        <f t="shared" ca="1" si="3"/>
        <v>0.86364804995607147</v>
      </c>
      <c r="Z14" s="5">
        <f t="shared" ca="1" si="3"/>
        <v>0.39129202801189822</v>
      </c>
      <c r="AA14" s="5">
        <f t="shared" ca="1" si="3"/>
        <v>0.13513548809337661</v>
      </c>
      <c r="AB14" s="5">
        <f t="shared" ca="1" si="3"/>
        <v>0</v>
      </c>
      <c r="AC14" s="5">
        <f t="shared" ca="1" si="3"/>
        <v>0</v>
      </c>
      <c r="AD14" s="5">
        <f t="shared" ca="1" si="3"/>
        <v>0.51877103103343514</v>
      </c>
      <c r="AE14" s="5">
        <f t="shared" ca="1" si="3"/>
        <v>0</v>
      </c>
      <c r="AF14" s="5">
        <f t="shared" ca="1" si="3"/>
        <v>0.48618071093223791</v>
      </c>
      <c r="AG14" s="5">
        <f t="shared" ca="1" si="3"/>
        <v>0</v>
      </c>
      <c r="AI14" s="4"/>
      <c r="AJ14" s="6"/>
      <c r="AK14" s="6"/>
      <c r="AL14" s="6"/>
    </row>
    <row r="15" spans="1:38">
      <c r="A15" t="s">
        <v>7</v>
      </c>
      <c r="B15" s="18">
        <f t="shared" si="4"/>
        <v>0</v>
      </c>
      <c r="C15" s="18">
        <f t="shared" si="2"/>
        <v>0</v>
      </c>
      <c r="D15" s="18">
        <f t="shared" si="2"/>
        <v>203884.4245650385</v>
      </c>
      <c r="E15" s="18">
        <f t="shared" si="2"/>
        <v>651338.22389123286</v>
      </c>
      <c r="F15" s="18">
        <f t="shared" si="2"/>
        <v>55587.966013004399</v>
      </c>
      <c r="G15" s="18">
        <f t="shared" si="2"/>
        <v>65176.443501328467</v>
      </c>
      <c r="H15" s="18">
        <f t="shared" si="2"/>
        <v>120.03804275844229</v>
      </c>
      <c r="I15" s="18">
        <f t="shared" si="2"/>
        <v>0</v>
      </c>
      <c r="J15" s="18">
        <f t="shared" si="2"/>
        <v>814.5353769139233</v>
      </c>
      <c r="K15" s="18">
        <f t="shared" si="2"/>
        <v>0</v>
      </c>
      <c r="M15">
        <f ca="1"/>
        <v>1</v>
      </c>
      <c r="N15">
        <f ca="1"/>
        <v>0</v>
      </c>
      <c r="O15">
        <f ca="1"/>
        <v>0</v>
      </c>
      <c r="P15">
        <f ca="1"/>
        <v>0</v>
      </c>
      <c r="Q15">
        <f ca="1"/>
        <v>0</v>
      </c>
      <c r="R15">
        <f ca="1"/>
        <v>0</v>
      </c>
      <c r="S15">
        <f ca="1"/>
        <v>1</v>
      </c>
      <c r="T15">
        <f ca="1"/>
        <v>1</v>
      </c>
      <c r="U15">
        <f ca="1"/>
        <v>1</v>
      </c>
      <c r="V15">
        <f ca="1"/>
        <v>0</v>
      </c>
      <c r="X15" s="5">
        <f t="shared" ca="1" si="5"/>
        <v>0.70363954952001861</v>
      </c>
      <c r="Y15" s="5">
        <f t="shared" ca="1" si="3"/>
        <v>0</v>
      </c>
      <c r="Z15" s="5">
        <f t="shared" ca="1" si="3"/>
        <v>0</v>
      </c>
      <c r="AA15" s="5">
        <f t="shared" ca="1" si="3"/>
        <v>0</v>
      </c>
      <c r="AB15" s="5">
        <f t="shared" ca="1" si="3"/>
        <v>0</v>
      </c>
      <c r="AC15" s="5">
        <f t="shared" ca="1" si="3"/>
        <v>0</v>
      </c>
      <c r="AD15" s="5">
        <f t="shared" ca="1" si="3"/>
        <v>0.80814275108890732</v>
      </c>
      <c r="AE15" s="5">
        <f t="shared" ca="1" si="3"/>
        <v>0.48094308617088</v>
      </c>
      <c r="AF15" s="5">
        <f t="shared" ca="1" si="3"/>
        <v>0.78057121972557242</v>
      </c>
      <c r="AG15" s="5">
        <f t="shared" ca="1" si="3"/>
        <v>0</v>
      </c>
      <c r="AI15" s="4"/>
      <c r="AJ15" s="6"/>
      <c r="AK15" s="6"/>
      <c r="AL15" s="6"/>
    </row>
    <row r="16" spans="1:38">
      <c r="A16" t="s">
        <v>8</v>
      </c>
      <c r="B16" s="18">
        <f t="shared" si="4"/>
        <v>1372.9702019853801</v>
      </c>
      <c r="C16" s="18">
        <f t="shared" si="2"/>
        <v>0</v>
      </c>
      <c r="D16" s="18">
        <f t="shared" si="2"/>
        <v>0</v>
      </c>
      <c r="E16" s="18">
        <f t="shared" si="2"/>
        <v>0</v>
      </c>
      <c r="F16" s="18">
        <f t="shared" si="2"/>
        <v>0</v>
      </c>
      <c r="G16" s="18">
        <f t="shared" si="2"/>
        <v>0</v>
      </c>
      <c r="H16" s="18">
        <f t="shared" si="2"/>
        <v>149.39079719827649</v>
      </c>
      <c r="I16" s="18">
        <f t="shared" si="2"/>
        <v>0</v>
      </c>
      <c r="J16" s="18">
        <f t="shared" si="2"/>
        <v>1982.5450684157167</v>
      </c>
      <c r="K16" s="18">
        <f t="shared" si="2"/>
        <v>0</v>
      </c>
      <c r="M16">
        <f ca="1"/>
        <v>1</v>
      </c>
      <c r="N16">
        <f ca="1"/>
        <v>0</v>
      </c>
      <c r="O16">
        <f ca="1"/>
        <v>0</v>
      </c>
      <c r="P16">
        <f ca="1"/>
        <v>0</v>
      </c>
      <c r="Q16">
        <f ca="1"/>
        <v>0</v>
      </c>
      <c r="R16">
        <f ca="1"/>
        <v>1</v>
      </c>
      <c r="S16">
        <f ca="1"/>
        <v>0</v>
      </c>
      <c r="T16">
        <f ca="1"/>
        <v>1</v>
      </c>
      <c r="U16">
        <f ca="1"/>
        <v>0</v>
      </c>
      <c r="V16">
        <f ca="1"/>
        <v>0</v>
      </c>
      <c r="X16" s="5">
        <f t="shared" ca="1" si="5"/>
        <v>0.49552173829879731</v>
      </c>
      <c r="Y16" s="5">
        <f t="shared" ca="1" si="3"/>
        <v>0</v>
      </c>
      <c r="Z16" s="5">
        <f t="shared" ca="1" si="3"/>
        <v>0</v>
      </c>
      <c r="AA16" s="5">
        <f t="shared" ca="1" si="3"/>
        <v>0</v>
      </c>
      <c r="AB16" s="5">
        <f t="shared" ca="1" si="3"/>
        <v>0</v>
      </c>
      <c r="AC16" s="5">
        <f t="shared" ca="1" si="3"/>
        <v>2.9422604416919462E-2</v>
      </c>
      <c r="AD16" s="5">
        <f t="shared" ca="1" si="3"/>
        <v>0</v>
      </c>
      <c r="AE16" s="5">
        <f t="shared" ca="1" si="3"/>
        <v>0.17049086922064283</v>
      </c>
      <c r="AF16" s="5">
        <f t="shared" ca="1" si="3"/>
        <v>0</v>
      </c>
      <c r="AG16" s="5">
        <f t="shared" ca="1" si="3"/>
        <v>0</v>
      </c>
      <c r="AI16" s="4"/>
      <c r="AJ16" s="6"/>
      <c r="AK16" s="6"/>
      <c r="AL16" s="6"/>
    </row>
    <row r="17" spans="1:44">
      <c r="A17" t="s">
        <v>9</v>
      </c>
      <c r="B17" s="18">
        <f t="shared" si="4"/>
        <v>419.12899837928109</v>
      </c>
      <c r="C17" s="18">
        <f t="shared" si="2"/>
        <v>0</v>
      </c>
      <c r="D17" s="18">
        <f t="shared" si="2"/>
        <v>0</v>
      </c>
      <c r="E17" s="18">
        <f t="shared" si="2"/>
        <v>0</v>
      </c>
      <c r="F17" s="18">
        <f t="shared" si="2"/>
        <v>0</v>
      </c>
      <c r="G17" s="18">
        <f t="shared" si="2"/>
        <v>0</v>
      </c>
      <c r="H17" s="18">
        <f t="shared" si="2"/>
        <v>96.126279910798957</v>
      </c>
      <c r="I17" s="18">
        <f t="shared" si="2"/>
        <v>0</v>
      </c>
      <c r="J17" s="18">
        <f t="shared" si="2"/>
        <v>3505.8502032384172</v>
      </c>
      <c r="K17" s="18">
        <f t="shared" si="2"/>
        <v>0</v>
      </c>
      <c r="M17">
        <f ca="1"/>
        <v>1</v>
      </c>
      <c r="N17">
        <f ca="1"/>
        <v>1</v>
      </c>
      <c r="O17">
        <f ca="1"/>
        <v>0</v>
      </c>
      <c r="P17">
        <f ca="1"/>
        <v>1</v>
      </c>
      <c r="Q17">
        <f ca="1"/>
        <v>0</v>
      </c>
      <c r="R17">
        <f ca="1"/>
        <v>1</v>
      </c>
      <c r="S17">
        <f ca="1"/>
        <v>0</v>
      </c>
      <c r="T17">
        <f ca="1"/>
        <v>0</v>
      </c>
      <c r="U17">
        <f ca="1"/>
        <v>0</v>
      </c>
      <c r="V17">
        <f ca="1"/>
        <v>1</v>
      </c>
      <c r="X17" s="5">
        <f t="shared" ca="1" si="5"/>
        <v>0.34850359429811284</v>
      </c>
      <c r="Y17" s="5">
        <f t="shared" ca="1" si="3"/>
        <v>0.18108243578928396</v>
      </c>
      <c r="Z17" s="5">
        <f t="shared" ca="1" si="3"/>
        <v>0</v>
      </c>
      <c r="AA17" s="5">
        <f t="shared" ca="1" si="3"/>
        <v>0.23977455432206174</v>
      </c>
      <c r="AB17" s="5">
        <f t="shared" ca="1" si="3"/>
        <v>0</v>
      </c>
      <c r="AC17" s="5">
        <f t="shared" ca="1" si="3"/>
        <v>0.75027759736825039</v>
      </c>
      <c r="AD17" s="5">
        <f t="shared" ca="1" si="3"/>
        <v>0</v>
      </c>
      <c r="AE17" s="5">
        <f t="shared" ca="1" si="3"/>
        <v>0</v>
      </c>
      <c r="AF17" s="5">
        <f t="shared" ca="1" si="3"/>
        <v>0</v>
      </c>
      <c r="AG17" s="5">
        <f t="shared" ca="1" si="3"/>
        <v>0.42805382260103098</v>
      </c>
      <c r="AI17" s="4"/>
      <c r="AJ17" s="6"/>
      <c r="AK17" s="6"/>
      <c r="AL17" s="6"/>
    </row>
    <row r="18" spans="1:44">
      <c r="A18" t="s">
        <v>10</v>
      </c>
      <c r="B18" s="18">
        <f t="shared" si="4"/>
        <v>1002.4107065422578</v>
      </c>
      <c r="C18" s="18">
        <f t="shared" si="2"/>
        <v>7218.0018373523153</v>
      </c>
      <c r="D18" s="18">
        <f t="shared" si="2"/>
        <v>499991.07959303481</v>
      </c>
      <c r="E18" s="18">
        <f t="shared" si="2"/>
        <v>0</v>
      </c>
      <c r="F18" s="18">
        <f t="shared" si="2"/>
        <v>0</v>
      </c>
      <c r="G18" s="18">
        <f t="shared" si="2"/>
        <v>0</v>
      </c>
      <c r="H18" s="18">
        <f t="shared" si="2"/>
        <v>92.006587431133042</v>
      </c>
      <c r="I18" s="18">
        <f t="shared" si="2"/>
        <v>0</v>
      </c>
      <c r="J18" s="18">
        <f t="shared" si="2"/>
        <v>0</v>
      </c>
      <c r="K18" s="18">
        <f t="shared" si="2"/>
        <v>0</v>
      </c>
      <c r="M18">
        <f ca="1"/>
        <v>1</v>
      </c>
      <c r="N18">
        <f ca="1"/>
        <v>0</v>
      </c>
      <c r="O18">
        <f ca="1"/>
        <v>0</v>
      </c>
      <c r="P18">
        <f ca="1"/>
        <v>0</v>
      </c>
      <c r="Q18">
        <f ca="1"/>
        <v>1</v>
      </c>
      <c r="R18">
        <f ca="1"/>
        <v>1</v>
      </c>
      <c r="S18">
        <f ca="1"/>
        <v>0</v>
      </c>
      <c r="T18">
        <f ca="1"/>
        <v>0</v>
      </c>
      <c r="U18">
        <f ca="1"/>
        <v>1</v>
      </c>
      <c r="V18">
        <f ca="1"/>
        <v>1</v>
      </c>
      <c r="X18" s="5">
        <f t="shared" ca="1" si="5"/>
        <v>0.16298067583036346</v>
      </c>
      <c r="Y18" s="5">
        <f t="shared" ca="1" si="3"/>
        <v>0</v>
      </c>
      <c r="Z18" s="5">
        <f t="shared" ca="1" si="3"/>
        <v>0</v>
      </c>
      <c r="AA18" s="5">
        <f t="shared" ca="1" si="3"/>
        <v>0</v>
      </c>
      <c r="AB18" s="5">
        <f t="shared" ca="1" si="3"/>
        <v>0.41552295184340871</v>
      </c>
      <c r="AC18" s="5">
        <f t="shared" ca="1" si="3"/>
        <v>0.96236062235521413</v>
      </c>
      <c r="AD18" s="5">
        <f t="shared" ca="1" si="3"/>
        <v>0</v>
      </c>
      <c r="AE18" s="5">
        <f t="shared" ca="1" si="3"/>
        <v>0</v>
      </c>
      <c r="AF18" s="5">
        <f t="shared" ca="1" si="3"/>
        <v>0.57806220353700055</v>
      </c>
      <c r="AG18" s="5">
        <f t="shared" ca="1" si="3"/>
        <v>0.5113866903262887</v>
      </c>
      <c r="AI18" s="4"/>
      <c r="AJ18" s="6"/>
      <c r="AK18" s="6"/>
      <c r="AL18" s="6"/>
    </row>
    <row r="19" spans="1:44">
      <c r="A19" t="s">
        <v>11</v>
      </c>
      <c r="B19" s="18">
        <f t="shared" si="4"/>
        <v>0</v>
      </c>
      <c r="C19" s="18">
        <f t="shared" si="2"/>
        <v>807.53723810642498</v>
      </c>
      <c r="D19" s="18">
        <f t="shared" si="2"/>
        <v>32661.814185763433</v>
      </c>
      <c r="E19" s="18">
        <f t="shared" si="2"/>
        <v>300042.56319955364</v>
      </c>
      <c r="F19" s="18">
        <f t="shared" si="2"/>
        <v>0</v>
      </c>
      <c r="G19" s="18">
        <f t="shared" si="2"/>
        <v>835268.37422425323</v>
      </c>
      <c r="H19" s="18">
        <f t="shared" si="2"/>
        <v>118.20910756964879</v>
      </c>
      <c r="I19" s="18">
        <f t="shared" si="2"/>
        <v>0</v>
      </c>
      <c r="J19" s="18">
        <f t="shared" si="2"/>
        <v>3215.5002983897816</v>
      </c>
      <c r="K19" s="18">
        <f t="shared" si="2"/>
        <v>0</v>
      </c>
      <c r="M19">
        <f ca="1"/>
        <v>1</v>
      </c>
      <c r="N19">
        <f ca="1"/>
        <v>1</v>
      </c>
      <c r="O19">
        <f ca="1"/>
        <v>0</v>
      </c>
      <c r="P19">
        <f ca="1"/>
        <v>0</v>
      </c>
      <c r="Q19">
        <f ca="1"/>
        <v>0</v>
      </c>
      <c r="R19">
        <f ca="1"/>
        <v>1</v>
      </c>
      <c r="S19">
        <f ca="1"/>
        <v>0</v>
      </c>
      <c r="T19">
        <f ca="1"/>
        <v>0</v>
      </c>
      <c r="U19">
        <f ca="1"/>
        <v>0</v>
      </c>
      <c r="V19">
        <f ca="1"/>
        <v>0</v>
      </c>
      <c r="X19" s="5">
        <f t="shared" ca="1" si="5"/>
        <v>0.51318212378150529</v>
      </c>
      <c r="Y19" s="5">
        <f t="shared" ca="1" si="3"/>
        <v>5.8235789474332167E-2</v>
      </c>
      <c r="Z19" s="5">
        <f t="shared" ca="1" si="3"/>
        <v>0</v>
      </c>
      <c r="AA19" s="5">
        <f t="shared" ca="1" si="3"/>
        <v>0</v>
      </c>
      <c r="AB19" s="5">
        <f t="shared" ca="1" si="3"/>
        <v>0</v>
      </c>
      <c r="AC19" s="5">
        <f t="shared" ca="1" si="3"/>
        <v>0.47514606799759862</v>
      </c>
      <c r="AD19" s="5">
        <f t="shared" ca="1" si="3"/>
        <v>0</v>
      </c>
      <c r="AE19" s="5">
        <f t="shared" ca="1" si="3"/>
        <v>0</v>
      </c>
      <c r="AF19" s="5">
        <f t="shared" ca="1" si="3"/>
        <v>0</v>
      </c>
      <c r="AG19" s="5">
        <f t="shared" ca="1" si="3"/>
        <v>0</v>
      </c>
      <c r="AI19" s="4"/>
      <c r="AJ19" s="6"/>
      <c r="AK19" s="6"/>
      <c r="AL19" s="6"/>
    </row>
    <row r="20" spans="1:44">
      <c r="A20" t="s">
        <v>12</v>
      </c>
      <c r="B20" s="18">
        <f t="shared" si="4"/>
        <v>1131.0640650156404</v>
      </c>
      <c r="C20" s="18">
        <f t="shared" si="2"/>
        <v>9951.9650627320298</v>
      </c>
      <c r="D20" s="18">
        <f t="shared" si="2"/>
        <v>634397.23091211345</v>
      </c>
      <c r="E20" s="18">
        <f t="shared" si="2"/>
        <v>506612.19951621257</v>
      </c>
      <c r="F20" s="18">
        <f t="shared" si="2"/>
        <v>3778.9130585656335</v>
      </c>
      <c r="G20" s="18">
        <f t="shared" si="2"/>
        <v>0</v>
      </c>
      <c r="H20" s="18">
        <f t="shared" si="2"/>
        <v>63.138769152090809</v>
      </c>
      <c r="I20" s="18">
        <f t="shared" si="2"/>
        <v>0</v>
      </c>
      <c r="J20" s="18">
        <f t="shared" si="2"/>
        <v>1894.4527628640972</v>
      </c>
      <c r="K20" s="18">
        <f t="shared" si="2"/>
        <v>0</v>
      </c>
      <c r="M20">
        <f ca="1"/>
        <v>1</v>
      </c>
      <c r="N20">
        <f ca="1"/>
        <v>0</v>
      </c>
      <c r="O20">
        <f ca="1"/>
        <v>1</v>
      </c>
      <c r="P20">
        <f ca="1"/>
        <v>1</v>
      </c>
      <c r="Q20">
        <f ca="1"/>
        <v>0</v>
      </c>
      <c r="R20">
        <f ca="1"/>
        <v>1</v>
      </c>
      <c r="S20">
        <f ca="1"/>
        <v>0</v>
      </c>
      <c r="T20">
        <f ca="1"/>
        <v>0</v>
      </c>
      <c r="U20">
        <f ca="1"/>
        <v>1</v>
      </c>
      <c r="V20">
        <f ca="1"/>
        <v>0</v>
      </c>
      <c r="X20" s="5">
        <f t="shared" ca="1" si="5"/>
        <v>0.99443931312913769</v>
      </c>
      <c r="Y20" s="5">
        <f t="shared" ca="1" si="3"/>
        <v>0</v>
      </c>
      <c r="Z20" s="5">
        <f t="shared" ca="1" si="3"/>
        <v>0.46852550521546221</v>
      </c>
      <c r="AA20" s="5">
        <f t="shared" ca="1" si="3"/>
        <v>0.21918215119854434</v>
      </c>
      <c r="AB20" s="5">
        <f t="shared" ca="1" si="3"/>
        <v>0</v>
      </c>
      <c r="AC20" s="5">
        <f t="shared" ca="1" si="3"/>
        <v>0.9518821589493478</v>
      </c>
      <c r="AD20" s="5">
        <f t="shared" ca="1" si="3"/>
        <v>0</v>
      </c>
      <c r="AE20" s="5">
        <f t="shared" ca="1" si="3"/>
        <v>0</v>
      </c>
      <c r="AF20" s="5">
        <f t="shared" ca="1" si="3"/>
        <v>5.5062400400080924E-2</v>
      </c>
      <c r="AG20" s="5">
        <f t="shared" ca="1" si="3"/>
        <v>0</v>
      </c>
    </row>
    <row r="21" spans="1:44">
      <c r="A21" t="s">
        <v>13</v>
      </c>
      <c r="B21" s="18">
        <f t="shared" si="4"/>
        <v>1454.712335617013</v>
      </c>
      <c r="C21" s="18">
        <f t="shared" si="2"/>
        <v>2172.8460492563941</v>
      </c>
      <c r="D21" s="18">
        <f t="shared" si="2"/>
        <v>84614.102532661811</v>
      </c>
      <c r="E21" s="18">
        <f t="shared" si="2"/>
        <v>0</v>
      </c>
      <c r="F21" s="18">
        <f t="shared" si="2"/>
        <v>0</v>
      </c>
      <c r="G21" s="18">
        <f t="shared" si="2"/>
        <v>0</v>
      </c>
      <c r="H21" s="18">
        <f t="shared" si="2"/>
        <v>138.5147626026648</v>
      </c>
      <c r="I21" s="18">
        <f t="shared" si="2"/>
        <v>0</v>
      </c>
      <c r="J21" s="18">
        <f t="shared" si="2"/>
        <v>0</v>
      </c>
      <c r="K21" s="18">
        <f t="shared" si="2"/>
        <v>0</v>
      </c>
      <c r="M21">
        <f ca="1"/>
        <v>1</v>
      </c>
      <c r="N21">
        <f ca="1"/>
        <v>1</v>
      </c>
      <c r="O21">
        <f ca="1"/>
        <v>0</v>
      </c>
      <c r="P21">
        <f ca="1"/>
        <v>0</v>
      </c>
      <c r="Q21">
        <f ca="1"/>
        <v>0</v>
      </c>
      <c r="R21">
        <f ca="1"/>
        <v>1</v>
      </c>
      <c r="S21">
        <f ca="1"/>
        <v>0</v>
      </c>
      <c r="T21">
        <f ca="1"/>
        <v>0</v>
      </c>
      <c r="U21">
        <f ca="1"/>
        <v>1</v>
      </c>
      <c r="V21">
        <f ca="1"/>
        <v>0</v>
      </c>
      <c r="X21" s="5">
        <f t="shared" ca="1" si="5"/>
        <v>0.76087799112680266</v>
      </c>
      <c r="Y21" s="5">
        <f t="shared" ca="1" si="3"/>
        <v>0.46327061807097081</v>
      </c>
      <c r="Z21" s="5">
        <f t="shared" ca="1" si="3"/>
        <v>0</v>
      </c>
      <c r="AA21" s="5">
        <f t="shared" ca="1" si="3"/>
        <v>0</v>
      </c>
      <c r="AB21" s="5">
        <f t="shared" ca="1" si="3"/>
        <v>0</v>
      </c>
      <c r="AC21" s="5">
        <f t="shared" ca="1" si="3"/>
        <v>0.84717412960277472</v>
      </c>
      <c r="AD21" s="5">
        <f t="shared" ca="1" si="3"/>
        <v>0</v>
      </c>
      <c r="AE21" s="5">
        <f t="shared" ca="1" si="3"/>
        <v>0</v>
      </c>
      <c r="AF21" s="5">
        <f t="shared" ca="1" si="3"/>
        <v>0.60303975176819602</v>
      </c>
      <c r="AG21" s="5">
        <f t="shared" ca="1" si="3"/>
        <v>0</v>
      </c>
    </row>
    <row r="22" spans="1:44">
      <c r="A22" t="s">
        <v>14</v>
      </c>
      <c r="B22" s="18">
        <f t="shared" si="4"/>
        <v>0</v>
      </c>
      <c r="C22" s="18">
        <f t="shared" si="2"/>
        <v>0</v>
      </c>
      <c r="D22" s="18">
        <f t="shared" si="2"/>
        <v>0</v>
      </c>
      <c r="E22" s="18">
        <f t="shared" si="2"/>
        <v>0</v>
      </c>
      <c r="F22" s="18">
        <f t="shared" si="2"/>
        <v>0</v>
      </c>
      <c r="G22" s="18">
        <f t="shared" si="2"/>
        <v>0</v>
      </c>
      <c r="H22" s="18">
        <f t="shared" si="2"/>
        <v>0</v>
      </c>
      <c r="I22" s="18">
        <f t="shared" si="2"/>
        <v>3232.9000917040712</v>
      </c>
      <c r="J22" s="18">
        <f t="shared" si="2"/>
        <v>0</v>
      </c>
      <c r="K22" s="18">
        <f t="shared" si="2"/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  <c r="U22">
        <v>0</v>
      </c>
      <c r="V22">
        <v>0</v>
      </c>
      <c r="X22" s="5">
        <f t="shared" ca="1" si="5"/>
        <v>0</v>
      </c>
      <c r="Y22" s="5">
        <f t="shared" ca="1" si="3"/>
        <v>0</v>
      </c>
      <c r="Z22" s="5">
        <f t="shared" ca="1" si="3"/>
        <v>0</v>
      </c>
      <c r="AA22" s="5">
        <f t="shared" ca="1" si="3"/>
        <v>0</v>
      </c>
      <c r="AB22" s="5">
        <f t="shared" ca="1" si="3"/>
        <v>0</v>
      </c>
      <c r="AC22" s="5">
        <f t="shared" ca="1" si="3"/>
        <v>0</v>
      </c>
      <c r="AD22" s="5">
        <f t="shared" ca="1" si="3"/>
        <v>0</v>
      </c>
      <c r="AE22" s="5">
        <f t="shared" ca="1" si="3"/>
        <v>0.62740207527737235</v>
      </c>
      <c r="AF22" s="5">
        <f t="shared" ca="1" si="3"/>
        <v>0</v>
      </c>
      <c r="AG22" s="5">
        <f t="shared" ca="1" si="3"/>
        <v>0</v>
      </c>
      <c r="AI22" s="4"/>
      <c r="AJ22" s="4"/>
      <c r="AK22" s="4"/>
      <c r="AL22" s="4"/>
      <c r="AM22" s="4"/>
      <c r="AN22" s="4"/>
      <c r="AO22" s="4"/>
      <c r="AP22" s="4"/>
      <c r="AQ22" s="4"/>
      <c r="AR22" s="4"/>
    </row>
    <row r="23" spans="1:44">
      <c r="A23" t="s">
        <v>15</v>
      </c>
      <c r="B23" s="18">
        <f t="shared" si="4"/>
        <v>0</v>
      </c>
      <c r="C23" s="18">
        <f t="shared" si="2"/>
        <v>0</v>
      </c>
      <c r="D23" s="18">
        <f t="shared" si="2"/>
        <v>0</v>
      </c>
      <c r="E23" s="18">
        <f t="shared" si="2"/>
        <v>0</v>
      </c>
      <c r="F23" s="18">
        <f t="shared" si="2"/>
        <v>0</v>
      </c>
      <c r="G23" s="18">
        <f t="shared" si="2"/>
        <v>0</v>
      </c>
      <c r="H23" s="18">
        <f t="shared" si="2"/>
        <v>0</v>
      </c>
      <c r="I23" s="18">
        <f t="shared" si="2"/>
        <v>2551.3559082959277</v>
      </c>
      <c r="J23" s="18">
        <f t="shared" si="2"/>
        <v>0</v>
      </c>
      <c r="K23" s="18">
        <f t="shared" si="2"/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</v>
      </c>
      <c r="U23">
        <v>0</v>
      </c>
      <c r="V23">
        <v>0</v>
      </c>
      <c r="X23" s="5">
        <f t="shared" ca="1" si="5"/>
        <v>0</v>
      </c>
      <c r="Y23" s="5">
        <f t="shared" ca="1" si="3"/>
        <v>0</v>
      </c>
      <c r="Z23" s="5">
        <f t="shared" ca="1" si="3"/>
        <v>0</v>
      </c>
      <c r="AA23" s="5">
        <f t="shared" ca="1" si="3"/>
        <v>0</v>
      </c>
      <c r="AB23" s="5">
        <f t="shared" ca="1" si="3"/>
        <v>0</v>
      </c>
      <c r="AC23" s="5">
        <f t="shared" ca="1" si="3"/>
        <v>0</v>
      </c>
      <c r="AD23" s="5">
        <f t="shared" ca="1" si="3"/>
        <v>0</v>
      </c>
      <c r="AE23" s="5">
        <f t="shared" ca="1" si="3"/>
        <v>0.76479655972470317</v>
      </c>
      <c r="AF23" s="5">
        <f t="shared" ca="1" si="3"/>
        <v>0</v>
      </c>
      <c r="AG23" s="5">
        <f t="shared" ca="1" si="3"/>
        <v>0</v>
      </c>
    </row>
    <row r="24" spans="1:44">
      <c r="A24" t="s">
        <v>16</v>
      </c>
      <c r="B24" s="18">
        <f t="shared" si="4"/>
        <v>0</v>
      </c>
      <c r="C24" s="18">
        <f t="shared" ref="C24:C26" si="6">AJ46</f>
        <v>0</v>
      </c>
      <c r="D24" s="18">
        <f t="shared" ref="D24:D26" si="7">AK46</f>
        <v>0</v>
      </c>
      <c r="E24" s="18">
        <f t="shared" ref="E24:E26" si="8">AL46</f>
        <v>0</v>
      </c>
      <c r="F24" s="18">
        <f t="shared" ref="F24:F26" si="9">AM46</f>
        <v>0</v>
      </c>
      <c r="G24" s="18">
        <f t="shared" ref="G24:G26" si="10">AN46</f>
        <v>0</v>
      </c>
      <c r="H24" s="18">
        <f t="shared" ref="H24:H26" si="11">AO46</f>
        <v>0</v>
      </c>
      <c r="I24" s="18">
        <f t="shared" ref="I24:I26" si="12">AP46</f>
        <v>0</v>
      </c>
      <c r="J24" s="18">
        <f t="shared" ref="J24:J26" si="13">AQ46</f>
        <v>0</v>
      </c>
      <c r="K24" s="18">
        <f t="shared" ref="K24:K26" si="14">AR46</f>
        <v>14834.97014602643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X24" s="5">
        <f t="shared" ca="1" si="5"/>
        <v>0</v>
      </c>
      <c r="Y24" s="5">
        <f t="shared" ref="Y24:Y27" ca="1" si="15">IF(N24=1,RAND(),0)</f>
        <v>0</v>
      </c>
      <c r="Z24" s="5">
        <f t="shared" ref="Z24:Z27" ca="1" si="16">IF(O24=1,RAND(),0)</f>
        <v>0</v>
      </c>
      <c r="AA24" s="5">
        <f t="shared" ref="AA24:AA27" ca="1" si="17">IF(P24=1,RAND(),0)</f>
        <v>0</v>
      </c>
      <c r="AB24" s="5">
        <f t="shared" ref="AB24:AB27" ca="1" si="18">IF(Q24=1,RAND(),0)</f>
        <v>0</v>
      </c>
      <c r="AC24" s="5">
        <f t="shared" ref="AC24:AC27" ca="1" si="19">IF(R24=1,RAND(),0)</f>
        <v>0</v>
      </c>
      <c r="AD24" s="5">
        <f t="shared" ref="AD24:AD27" ca="1" si="20">IF(S24=1,RAND(),0)</f>
        <v>0</v>
      </c>
      <c r="AE24" s="5">
        <f t="shared" ref="AE24:AE27" ca="1" si="21">IF(T24=1,RAND(),0)</f>
        <v>0</v>
      </c>
      <c r="AF24" s="5">
        <f t="shared" ref="AF24:AF27" ca="1" si="22">IF(U24=1,RAND(),0)</f>
        <v>0</v>
      </c>
      <c r="AG24" s="5">
        <f t="shared" ref="AG24:AG27" ca="1" si="23">IF(V24=1,RAND(),0)</f>
        <v>0.14514526758006352</v>
      </c>
    </row>
    <row r="25" spans="1:44">
      <c r="A25" t="s">
        <v>17</v>
      </c>
      <c r="B25" s="18">
        <f t="shared" si="4"/>
        <v>0</v>
      </c>
      <c r="C25" s="18">
        <f t="shared" si="6"/>
        <v>0</v>
      </c>
      <c r="D25" s="18">
        <f t="shared" si="7"/>
        <v>0</v>
      </c>
      <c r="E25" s="18">
        <f t="shared" si="8"/>
        <v>0</v>
      </c>
      <c r="F25" s="18">
        <f t="shared" si="9"/>
        <v>0</v>
      </c>
      <c r="G25" s="18">
        <f t="shared" si="10"/>
        <v>0</v>
      </c>
      <c r="H25" s="18">
        <f t="shared" si="11"/>
        <v>0</v>
      </c>
      <c r="I25" s="18">
        <f t="shared" si="12"/>
        <v>0</v>
      </c>
      <c r="J25" s="18">
        <f t="shared" si="13"/>
        <v>0</v>
      </c>
      <c r="K25" s="18">
        <f t="shared" si="14"/>
        <v>6229.9622564825358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X25" s="5">
        <f t="shared" ca="1" si="5"/>
        <v>0</v>
      </c>
      <c r="Y25" s="5">
        <f t="shared" ca="1" si="15"/>
        <v>0</v>
      </c>
      <c r="Z25" s="5">
        <f t="shared" ca="1" si="16"/>
        <v>0</v>
      </c>
      <c r="AA25" s="5">
        <f t="shared" ca="1" si="17"/>
        <v>0</v>
      </c>
      <c r="AB25" s="5">
        <f t="shared" ca="1" si="18"/>
        <v>0</v>
      </c>
      <c r="AC25" s="5">
        <f t="shared" ca="1" si="19"/>
        <v>0</v>
      </c>
      <c r="AD25" s="5">
        <f t="shared" ca="1" si="20"/>
        <v>0</v>
      </c>
      <c r="AE25" s="5">
        <f t="shared" ca="1" si="21"/>
        <v>0</v>
      </c>
      <c r="AF25" s="5">
        <f t="shared" ca="1" si="22"/>
        <v>0</v>
      </c>
      <c r="AG25" s="5">
        <f t="shared" ca="1" si="23"/>
        <v>0.74121729971127071</v>
      </c>
    </row>
    <row r="26" spans="1:44">
      <c r="A26" t="s">
        <v>18</v>
      </c>
      <c r="B26" s="18">
        <f t="shared" si="4"/>
        <v>0</v>
      </c>
      <c r="C26" s="18">
        <f t="shared" si="6"/>
        <v>0</v>
      </c>
      <c r="D26" s="18">
        <f t="shared" si="7"/>
        <v>0</v>
      </c>
      <c r="E26" s="18">
        <f t="shared" si="8"/>
        <v>0</v>
      </c>
      <c r="F26" s="18">
        <f t="shared" si="9"/>
        <v>0</v>
      </c>
      <c r="G26" s="18">
        <f t="shared" si="10"/>
        <v>0</v>
      </c>
      <c r="H26" s="18">
        <f t="shared" si="11"/>
        <v>0</v>
      </c>
      <c r="I26" s="18">
        <f t="shared" si="12"/>
        <v>0</v>
      </c>
      <c r="J26" s="18">
        <f t="shared" si="13"/>
        <v>0</v>
      </c>
      <c r="K26" s="18">
        <f t="shared" si="14"/>
        <v>95.108597491038353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X26" s="5">
        <f t="shared" ca="1" si="5"/>
        <v>0</v>
      </c>
      <c r="Y26" s="5">
        <f t="shared" ca="1" si="15"/>
        <v>0</v>
      </c>
      <c r="Z26" s="5">
        <f t="shared" ca="1" si="16"/>
        <v>0</v>
      </c>
      <c r="AA26" s="5">
        <f t="shared" ca="1" si="17"/>
        <v>0</v>
      </c>
      <c r="AB26" s="5">
        <f t="shared" ca="1" si="18"/>
        <v>0</v>
      </c>
      <c r="AC26" s="5">
        <f t="shared" ca="1" si="19"/>
        <v>0</v>
      </c>
      <c r="AD26" s="5">
        <f t="shared" ca="1" si="20"/>
        <v>0</v>
      </c>
      <c r="AE26" s="5">
        <f t="shared" ca="1" si="21"/>
        <v>0</v>
      </c>
      <c r="AF26" s="5">
        <f t="shared" ca="1" si="22"/>
        <v>0</v>
      </c>
      <c r="AG26" s="5">
        <f t="shared" ca="1" si="23"/>
        <v>0.7850985423434238</v>
      </c>
    </row>
    <row r="27" spans="1:44">
      <c r="A27" t="s">
        <v>19</v>
      </c>
      <c r="B27" s="18">
        <f t="shared" ref="B27" si="24">AI49</f>
        <v>0</v>
      </c>
      <c r="C27" s="18">
        <f t="shared" ref="C27" si="25">AJ49</f>
        <v>0</v>
      </c>
      <c r="D27" s="18">
        <f t="shared" ref="D27" si="26">AK49</f>
        <v>1906.9639230571736</v>
      </c>
      <c r="E27" s="18">
        <f t="shared" ref="E27" si="27">AL49</f>
        <v>3300.190551479704</v>
      </c>
      <c r="F27" s="18">
        <f t="shared" ref="F27" si="28">AM49</f>
        <v>639.69067630850429</v>
      </c>
      <c r="G27" s="18">
        <f t="shared" ref="G27" si="29">AN49</f>
        <v>0</v>
      </c>
      <c r="H27" s="18">
        <f t="shared" ref="H27" si="30">AO49</f>
        <v>0</v>
      </c>
      <c r="I27" s="18">
        <f t="shared" ref="I27" si="31">AP49</f>
        <v>0</v>
      </c>
      <c r="J27" s="18">
        <f t="shared" ref="J27" si="32">AQ49</f>
        <v>0</v>
      </c>
      <c r="K27" s="18">
        <f t="shared" ref="K27" si="33">AR49</f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X27" s="5">
        <f t="shared" ca="1" si="5"/>
        <v>0</v>
      </c>
      <c r="Y27" s="5">
        <f t="shared" ca="1" si="15"/>
        <v>0</v>
      </c>
      <c r="Z27" s="5">
        <f t="shared" ca="1" si="16"/>
        <v>0.70050373575203972</v>
      </c>
      <c r="AA27" s="5">
        <f t="shared" ca="1" si="17"/>
        <v>0.63676379584956633</v>
      </c>
      <c r="AB27" s="5">
        <f t="shared" ca="1" si="18"/>
        <v>0.28224387403673656</v>
      </c>
      <c r="AC27" s="5">
        <f t="shared" ca="1" si="19"/>
        <v>0</v>
      </c>
      <c r="AD27" s="5">
        <f t="shared" ca="1" si="20"/>
        <v>0</v>
      </c>
      <c r="AE27" s="5">
        <f t="shared" ca="1" si="21"/>
        <v>0</v>
      </c>
      <c r="AF27" s="5">
        <f t="shared" ca="1" si="22"/>
        <v>0</v>
      </c>
      <c r="AG27" s="5">
        <f t="shared" ca="1" si="23"/>
        <v>0</v>
      </c>
    </row>
    <row r="29" spans="1:44">
      <c r="F29" s="33"/>
      <c r="X29" s="16" t="s">
        <v>133</v>
      </c>
      <c r="AI29" s="16" t="s">
        <v>134</v>
      </c>
    </row>
    <row r="30" spans="1:44">
      <c r="X30" s="5">
        <v>0</v>
      </c>
      <c r="Y30" s="5">
        <v>0</v>
      </c>
      <c r="Z30" s="5">
        <v>0.32837517920913417</v>
      </c>
      <c r="AA30" s="5">
        <v>0</v>
      </c>
      <c r="AB30" s="5">
        <v>0.21834118989212992</v>
      </c>
      <c r="AC30" s="5">
        <v>0.23342231544019032</v>
      </c>
      <c r="AD30" s="5">
        <v>0.1087812324203915</v>
      </c>
      <c r="AE30" s="5">
        <v>0</v>
      </c>
      <c r="AF30" s="5">
        <v>0</v>
      </c>
      <c r="AG30" s="5">
        <v>0</v>
      </c>
      <c r="AI30" s="6">
        <f>X30/SUM($X$30:$X$49)*$B$3</f>
        <v>0</v>
      </c>
      <c r="AJ30" s="6">
        <f t="shared" ref="AJ30:AJ49" si="34">Y30/SUM($Y$30:$Y$49)*$C$3</f>
        <v>0</v>
      </c>
      <c r="AK30" s="6">
        <f t="shared" ref="AK30:AK49" si="35">Z30/SUM($Z$30:$Z$49)*$D$3</f>
        <v>250479.84799170116</v>
      </c>
      <c r="AL30" s="6">
        <f t="shared" ref="AL30:AL49" si="36">AA30/SUM($AA$30:$AA$49)*$E$3</f>
        <v>0</v>
      </c>
      <c r="AM30" s="6">
        <f t="shared" ref="AM30:AM49" si="37">AB30/SUM($AB$30:$AB$49)*$F$3</f>
        <v>13967.082342810016</v>
      </c>
      <c r="AN30" s="6">
        <f t="shared" ref="AN30:AN49" si="38">AC30/SUM($AC$30:$AC$49)*$G$3</f>
        <v>365108.99327839573</v>
      </c>
      <c r="AO30" s="6">
        <f t="shared" ref="AO30:AO49" si="39">AD30/SUM($AD$30:$AD$49)*$H$3</f>
        <v>31.31986321542297</v>
      </c>
      <c r="AP30" s="6">
        <f t="shared" ref="AP30:AP49" si="40">AE30/SUM($AE$30:$AE$49)*$I$3</f>
        <v>0</v>
      </c>
      <c r="AQ30" s="6">
        <f t="shared" ref="AQ30:AQ49" si="41">AF30/SUM($AF$30:$AF$49)*$J$3</f>
        <v>0</v>
      </c>
      <c r="AR30" s="6">
        <f t="shared" ref="AR30:AR49" si="42">AG30/SUM($AG$30:$AG$49)*$K$3</f>
        <v>0</v>
      </c>
    </row>
    <row r="31" spans="1:44">
      <c r="X31" s="5">
        <v>0.23418161412039262</v>
      </c>
      <c r="Y31" s="5">
        <v>0.74588930093111916</v>
      </c>
      <c r="Z31" s="5">
        <v>0</v>
      </c>
      <c r="AA31" s="5">
        <v>0.98105720783657269</v>
      </c>
      <c r="AB31" s="5">
        <v>0</v>
      </c>
      <c r="AC31" s="5">
        <v>0</v>
      </c>
      <c r="AD31" s="5">
        <v>0</v>
      </c>
      <c r="AE31" s="5">
        <v>0</v>
      </c>
      <c r="AF31" s="5">
        <v>0</v>
      </c>
      <c r="AG31" s="5">
        <v>0</v>
      </c>
      <c r="AI31" s="6">
        <f>X31/SUM($X$30:$X$49)*$B$3</f>
        <v>422.35463319961781</v>
      </c>
      <c r="AJ31" s="6">
        <f t="shared" si="34"/>
        <v>11328.073569254806</v>
      </c>
      <c r="AK31" s="6">
        <f t="shared" si="35"/>
        <v>0</v>
      </c>
      <c r="AL31" s="6">
        <f t="shared" si="36"/>
        <v>647535.14555266348</v>
      </c>
      <c r="AM31" s="6">
        <f t="shared" si="37"/>
        <v>0</v>
      </c>
      <c r="AN31" s="6">
        <f t="shared" si="38"/>
        <v>0</v>
      </c>
      <c r="AO31" s="6">
        <f t="shared" si="39"/>
        <v>0</v>
      </c>
      <c r="AP31" s="6">
        <f t="shared" si="40"/>
        <v>0</v>
      </c>
      <c r="AQ31" s="6">
        <f t="shared" si="41"/>
        <v>0</v>
      </c>
      <c r="AR31" s="6">
        <f t="shared" si="42"/>
        <v>0</v>
      </c>
    </row>
    <row r="32" spans="1:44">
      <c r="X32" s="5">
        <v>0.22806188983969589</v>
      </c>
      <c r="Y32" s="5">
        <v>0</v>
      </c>
      <c r="Z32" s="5">
        <v>0</v>
      </c>
      <c r="AA32" s="5">
        <v>0.28522346502736073</v>
      </c>
      <c r="AB32" s="5">
        <v>0.61670268621093416</v>
      </c>
      <c r="AC32" s="5">
        <v>0</v>
      </c>
      <c r="AD32" s="5">
        <v>0</v>
      </c>
      <c r="AE32" s="5">
        <v>0</v>
      </c>
      <c r="AF32" s="5">
        <v>0</v>
      </c>
      <c r="AG32" s="5">
        <v>0</v>
      </c>
      <c r="AI32" s="6">
        <f t="shared" ref="AI32:AI49" si="43">X32/SUM($X$30:$X$49)*$B$3</f>
        <v>411.31749899262718</v>
      </c>
      <c r="AJ32" s="6">
        <f t="shared" si="34"/>
        <v>0</v>
      </c>
      <c r="AK32" s="6">
        <f t="shared" si="35"/>
        <v>0</v>
      </c>
      <c r="AL32" s="6">
        <f t="shared" si="36"/>
        <v>188258.35686871951</v>
      </c>
      <c r="AM32" s="6">
        <f t="shared" si="37"/>
        <v>39449.895842354374</v>
      </c>
      <c r="AN32" s="6">
        <f t="shared" si="38"/>
        <v>0</v>
      </c>
      <c r="AO32" s="6">
        <f t="shared" si="39"/>
        <v>0</v>
      </c>
      <c r="AP32" s="6">
        <f t="shared" si="40"/>
        <v>0</v>
      </c>
      <c r="AQ32" s="6">
        <f t="shared" si="41"/>
        <v>0</v>
      </c>
      <c r="AR32" s="6">
        <f t="shared" si="42"/>
        <v>0</v>
      </c>
    </row>
    <row r="33" spans="24:44">
      <c r="X33" s="5">
        <v>0</v>
      </c>
      <c r="Y33" s="5">
        <v>0</v>
      </c>
      <c r="Z33" s="5">
        <v>0</v>
      </c>
      <c r="AA33" s="5">
        <v>0</v>
      </c>
      <c r="AB33" s="5">
        <v>0.6097686912323772</v>
      </c>
      <c r="AC33" s="5">
        <v>0.64852118871577968</v>
      </c>
      <c r="AD33" s="5">
        <v>0.79161145799279786</v>
      </c>
      <c r="AE33" s="5">
        <v>0</v>
      </c>
      <c r="AF33" s="5">
        <v>0</v>
      </c>
      <c r="AG33" s="5">
        <v>0</v>
      </c>
      <c r="AI33" s="6">
        <f t="shared" si="43"/>
        <v>0</v>
      </c>
      <c r="AJ33" s="6">
        <f t="shared" si="34"/>
        <v>0</v>
      </c>
      <c r="AK33" s="6">
        <f t="shared" si="35"/>
        <v>0</v>
      </c>
      <c r="AL33" s="6">
        <f t="shared" si="36"/>
        <v>0</v>
      </c>
      <c r="AM33" s="6">
        <f t="shared" si="37"/>
        <v>39006.334648619086</v>
      </c>
      <c r="AN33" s="6">
        <f t="shared" si="38"/>
        <v>1014388.5253010313</v>
      </c>
      <c r="AO33" s="6">
        <f t="shared" si="39"/>
        <v>227.91764748795393</v>
      </c>
      <c r="AP33" s="6">
        <f t="shared" si="40"/>
        <v>0</v>
      </c>
      <c r="AQ33" s="6">
        <f t="shared" si="41"/>
        <v>0</v>
      </c>
      <c r="AR33" s="6">
        <f t="shared" si="42"/>
        <v>0</v>
      </c>
    </row>
    <row r="34" spans="24:44">
      <c r="X34" s="5">
        <v>0.18464264915250128</v>
      </c>
      <c r="Y34" s="5">
        <v>0</v>
      </c>
      <c r="Z34" s="5">
        <v>0.43175211228472932</v>
      </c>
      <c r="AA34" s="5">
        <v>0.9719350072924885</v>
      </c>
      <c r="AB34" s="5">
        <v>0.18181464106415823</v>
      </c>
      <c r="AC34" s="5">
        <v>0</v>
      </c>
      <c r="AD34" s="5">
        <v>0</v>
      </c>
      <c r="AE34" s="5">
        <v>0</v>
      </c>
      <c r="AF34" s="5">
        <v>3.3886091355061043E-2</v>
      </c>
      <c r="AG34" s="5">
        <v>0</v>
      </c>
      <c r="AI34" s="6">
        <f t="shared" si="43"/>
        <v>333.00939806366921</v>
      </c>
      <c r="AJ34" s="6">
        <f t="shared" si="34"/>
        <v>0</v>
      </c>
      <c r="AK34" s="6">
        <f t="shared" si="35"/>
        <v>329334.28073228349</v>
      </c>
      <c r="AL34" s="6">
        <f t="shared" si="36"/>
        <v>641514.14554380556</v>
      </c>
      <c r="AM34" s="6">
        <f t="shared" si="37"/>
        <v>11630.513070511934</v>
      </c>
      <c r="AN34" s="6">
        <f t="shared" si="38"/>
        <v>0</v>
      </c>
      <c r="AO34" s="6">
        <f t="shared" si="39"/>
        <v>0</v>
      </c>
      <c r="AP34" s="6">
        <f t="shared" si="40"/>
        <v>0</v>
      </c>
      <c r="AQ34" s="6">
        <f t="shared" si="41"/>
        <v>155.62829017806206</v>
      </c>
      <c r="AR34" s="6">
        <f t="shared" si="42"/>
        <v>0</v>
      </c>
    </row>
    <row r="35" spans="24:44">
      <c r="X35" s="5">
        <v>0.76329680428231383</v>
      </c>
      <c r="Y35" s="5">
        <v>0.84392069540909753</v>
      </c>
      <c r="Z35" s="5">
        <v>8.8434170475150453E-2</v>
      </c>
      <c r="AA35" s="5">
        <v>0.46241808522261008</v>
      </c>
      <c r="AB35" s="5">
        <v>0</v>
      </c>
      <c r="AC35" s="5">
        <v>4.6175902481566888E-2</v>
      </c>
      <c r="AD35" s="5">
        <v>0.52302037202811802</v>
      </c>
      <c r="AE35" s="5">
        <v>0</v>
      </c>
      <c r="AF35" s="5">
        <v>0</v>
      </c>
      <c r="AG35" s="5">
        <v>0</v>
      </c>
      <c r="AI35" s="6">
        <f t="shared" si="43"/>
        <v>1376.632162204505</v>
      </c>
      <c r="AJ35" s="6">
        <f t="shared" si="34"/>
        <v>12816.909576631362</v>
      </c>
      <c r="AK35" s="6">
        <f t="shared" si="35"/>
        <v>67456.309064639907</v>
      </c>
      <c r="AL35" s="6">
        <f t="shared" si="36"/>
        <v>305213.55913699884</v>
      </c>
      <c r="AM35" s="6">
        <f t="shared" si="37"/>
        <v>0</v>
      </c>
      <c r="AN35" s="6">
        <f t="shared" si="38"/>
        <v>72226.330361657718</v>
      </c>
      <c r="AO35" s="6">
        <f t="shared" si="39"/>
        <v>150.58596180906676</v>
      </c>
      <c r="AP35" s="6">
        <f t="shared" si="40"/>
        <v>0</v>
      </c>
      <c r="AQ35" s="6">
        <f t="shared" si="41"/>
        <v>0</v>
      </c>
      <c r="AR35" s="6">
        <f t="shared" si="42"/>
        <v>0</v>
      </c>
    </row>
    <row r="36" spans="24:44">
      <c r="X36" s="5">
        <v>0</v>
      </c>
      <c r="Y36" s="5">
        <v>0</v>
      </c>
      <c r="Z36" s="5">
        <v>0.17924121625120204</v>
      </c>
      <c r="AA36" s="5">
        <v>0.4907685541482274</v>
      </c>
      <c r="AB36" s="5">
        <v>0</v>
      </c>
      <c r="AC36" s="5">
        <v>0</v>
      </c>
      <c r="AD36" s="5">
        <v>0.23683233309464113</v>
      </c>
      <c r="AE36" s="5">
        <v>0</v>
      </c>
      <c r="AF36" s="5">
        <v>0</v>
      </c>
      <c r="AG36" s="5">
        <v>0</v>
      </c>
      <c r="AI36" s="6">
        <f t="shared" si="43"/>
        <v>0</v>
      </c>
      <c r="AJ36" s="6">
        <f t="shared" si="34"/>
        <v>0</v>
      </c>
      <c r="AK36" s="6">
        <f t="shared" si="35"/>
        <v>136722.61316637258</v>
      </c>
      <c r="AL36" s="6">
        <f t="shared" si="36"/>
        <v>323925.94907266711</v>
      </c>
      <c r="AM36" s="6">
        <f t="shared" si="37"/>
        <v>0</v>
      </c>
      <c r="AN36" s="6">
        <f t="shared" si="38"/>
        <v>0</v>
      </c>
      <c r="AO36" s="6">
        <f t="shared" si="39"/>
        <v>68.187830864501208</v>
      </c>
      <c r="AP36" s="6">
        <f t="shared" si="40"/>
        <v>0</v>
      </c>
      <c r="AQ36" s="6">
        <f t="shared" si="41"/>
        <v>0</v>
      </c>
      <c r="AR36" s="6">
        <f t="shared" si="42"/>
        <v>0</v>
      </c>
    </row>
    <row r="37" spans="24:44">
      <c r="X37" s="5">
        <v>0</v>
      </c>
      <c r="Y37" s="5">
        <v>0</v>
      </c>
      <c r="Z37" s="5">
        <v>0.26728930487339608</v>
      </c>
      <c r="AA37" s="5">
        <v>0.98681911503442266</v>
      </c>
      <c r="AB37" s="5">
        <v>0.86898196381083304</v>
      </c>
      <c r="AC37" s="5">
        <v>4.1668752713073909E-2</v>
      </c>
      <c r="AD37" s="5">
        <v>0.41692028278606452</v>
      </c>
      <c r="AE37" s="5">
        <v>0</v>
      </c>
      <c r="AF37" s="5">
        <v>0.17735477375260067</v>
      </c>
      <c r="AG37" s="5">
        <v>0</v>
      </c>
      <c r="AI37" s="6">
        <f t="shared" si="43"/>
        <v>0</v>
      </c>
      <c r="AJ37" s="6">
        <f t="shared" si="34"/>
        <v>0</v>
      </c>
      <c r="AK37" s="6">
        <f t="shared" si="35"/>
        <v>203884.4245650385</v>
      </c>
      <c r="AL37" s="6">
        <f t="shared" si="36"/>
        <v>651338.22389123286</v>
      </c>
      <c r="AM37" s="6">
        <f t="shared" si="37"/>
        <v>55587.966013004399</v>
      </c>
      <c r="AN37" s="6">
        <f t="shared" si="38"/>
        <v>65176.443501328467</v>
      </c>
      <c r="AO37" s="6">
        <f t="shared" si="39"/>
        <v>120.03804275844229</v>
      </c>
      <c r="AP37" s="6">
        <f t="shared" si="40"/>
        <v>0</v>
      </c>
      <c r="AQ37" s="6">
        <f t="shared" si="41"/>
        <v>814.5353769139233</v>
      </c>
      <c r="AR37" s="6">
        <f t="shared" si="42"/>
        <v>0</v>
      </c>
    </row>
    <row r="38" spans="24:44">
      <c r="X38" s="5">
        <v>0.76126636898564681</v>
      </c>
      <c r="Y38" s="5">
        <v>0</v>
      </c>
      <c r="Z38" s="5">
        <v>0</v>
      </c>
      <c r="AA38" s="5">
        <v>0</v>
      </c>
      <c r="AB38" s="5">
        <v>0</v>
      </c>
      <c r="AC38" s="5">
        <v>0</v>
      </c>
      <c r="AD38" s="5">
        <v>0.51886928495558626</v>
      </c>
      <c r="AE38" s="5">
        <v>0</v>
      </c>
      <c r="AF38" s="5">
        <v>0.43167410775377624</v>
      </c>
      <c r="AG38" s="5">
        <v>0</v>
      </c>
      <c r="AI38" s="6">
        <f t="shared" si="43"/>
        <v>1372.9702019853801</v>
      </c>
      <c r="AJ38" s="6">
        <f t="shared" si="34"/>
        <v>0</v>
      </c>
      <c r="AK38" s="6">
        <f t="shared" si="35"/>
        <v>0</v>
      </c>
      <c r="AL38" s="6">
        <f t="shared" si="36"/>
        <v>0</v>
      </c>
      <c r="AM38" s="6">
        <f t="shared" si="37"/>
        <v>0</v>
      </c>
      <c r="AN38" s="6">
        <f t="shared" si="38"/>
        <v>0</v>
      </c>
      <c r="AO38" s="6">
        <f t="shared" si="39"/>
        <v>149.39079719827649</v>
      </c>
      <c r="AP38" s="6">
        <f t="shared" si="40"/>
        <v>0</v>
      </c>
      <c r="AQ38" s="6">
        <f t="shared" si="41"/>
        <v>1982.5450684157167</v>
      </c>
      <c r="AR38" s="6">
        <f t="shared" si="42"/>
        <v>0</v>
      </c>
    </row>
    <row r="39" spans="24:44">
      <c r="X39" s="5">
        <v>0.23239310676327696</v>
      </c>
      <c r="Y39" s="5">
        <v>0</v>
      </c>
      <c r="Z39" s="5">
        <v>0</v>
      </c>
      <c r="AA39" s="5">
        <v>0</v>
      </c>
      <c r="AB39" s="5">
        <v>0</v>
      </c>
      <c r="AC39" s="5">
        <v>0</v>
      </c>
      <c r="AD39" s="5">
        <v>0.33386912084389242</v>
      </c>
      <c r="AE39" s="5">
        <v>0</v>
      </c>
      <c r="AF39" s="5">
        <v>0.76335452974630669</v>
      </c>
      <c r="AG39" s="5">
        <v>0</v>
      </c>
      <c r="AI39" s="6">
        <f t="shared" si="43"/>
        <v>419.12899837928109</v>
      </c>
      <c r="AJ39" s="6">
        <f t="shared" si="34"/>
        <v>0</v>
      </c>
      <c r="AK39" s="6">
        <f t="shared" si="35"/>
        <v>0</v>
      </c>
      <c r="AL39" s="6">
        <f t="shared" si="36"/>
        <v>0</v>
      </c>
      <c r="AM39" s="6">
        <f t="shared" si="37"/>
        <v>0</v>
      </c>
      <c r="AN39" s="6">
        <f t="shared" si="38"/>
        <v>0</v>
      </c>
      <c r="AO39" s="6">
        <f t="shared" si="39"/>
        <v>96.126279910798957</v>
      </c>
      <c r="AP39" s="6">
        <f t="shared" si="40"/>
        <v>0</v>
      </c>
      <c r="AQ39" s="6">
        <f t="shared" si="41"/>
        <v>3505.8502032384172</v>
      </c>
      <c r="AR39" s="6">
        <f t="shared" si="42"/>
        <v>0</v>
      </c>
    </row>
    <row r="40" spans="24:44">
      <c r="X40" s="5">
        <v>0.55580343819427425</v>
      </c>
      <c r="Y40" s="5">
        <v>0.47526442264590762</v>
      </c>
      <c r="Z40" s="5">
        <v>0.65548051741779645</v>
      </c>
      <c r="AA40" s="5">
        <v>0</v>
      </c>
      <c r="AB40" s="5">
        <v>0</v>
      </c>
      <c r="AC40" s="5">
        <v>0</v>
      </c>
      <c r="AD40" s="5">
        <v>0.31956046240408176</v>
      </c>
      <c r="AE40" s="5">
        <v>0</v>
      </c>
      <c r="AF40" s="5">
        <v>0</v>
      </c>
      <c r="AG40" s="5">
        <v>0</v>
      </c>
      <c r="AI40" s="6">
        <f t="shared" si="43"/>
        <v>1002.4107065422578</v>
      </c>
      <c r="AJ40" s="6">
        <f t="shared" si="34"/>
        <v>7218.0018373523153</v>
      </c>
      <c r="AK40" s="6">
        <f t="shared" si="35"/>
        <v>499991.07959303481</v>
      </c>
      <c r="AL40" s="6">
        <f t="shared" si="36"/>
        <v>0</v>
      </c>
      <c r="AM40" s="6">
        <f t="shared" si="37"/>
        <v>0</v>
      </c>
      <c r="AN40" s="6">
        <f t="shared" si="38"/>
        <v>0</v>
      </c>
      <c r="AO40" s="6">
        <f t="shared" si="39"/>
        <v>92.006587431133042</v>
      </c>
      <c r="AP40" s="6">
        <f t="shared" si="40"/>
        <v>0</v>
      </c>
      <c r="AQ40" s="6">
        <f t="shared" si="41"/>
        <v>0</v>
      </c>
      <c r="AR40" s="6">
        <f t="shared" si="42"/>
        <v>0</v>
      </c>
    </row>
    <row r="41" spans="24:44">
      <c r="X41" s="5">
        <v>0</v>
      </c>
      <c r="Y41" s="5">
        <v>5.3171740307356719E-2</v>
      </c>
      <c r="Z41" s="5">
        <v>4.2819129652701071E-2</v>
      </c>
      <c r="AA41" s="5">
        <v>0.45458369527332865</v>
      </c>
      <c r="AB41" s="5">
        <v>0</v>
      </c>
      <c r="AC41" s="5">
        <v>0.53400568464421161</v>
      </c>
      <c r="AD41" s="5">
        <v>0.4105679618169229</v>
      </c>
      <c r="AE41" s="5">
        <v>0</v>
      </c>
      <c r="AF41" s="5">
        <v>0.70013451114058234</v>
      </c>
      <c r="AG41" s="5">
        <v>0</v>
      </c>
      <c r="AI41" s="6">
        <f t="shared" si="43"/>
        <v>0</v>
      </c>
      <c r="AJ41" s="6">
        <f t="shared" si="34"/>
        <v>807.53723810642498</v>
      </c>
      <c r="AK41" s="6">
        <f t="shared" si="35"/>
        <v>32661.814185763433</v>
      </c>
      <c r="AL41" s="6">
        <f t="shared" si="36"/>
        <v>300042.56319955364</v>
      </c>
      <c r="AM41" s="6">
        <f t="shared" si="37"/>
        <v>0</v>
      </c>
      <c r="AN41" s="6">
        <f t="shared" si="38"/>
        <v>835268.37422425323</v>
      </c>
      <c r="AO41" s="6">
        <f t="shared" si="39"/>
        <v>118.20910756964879</v>
      </c>
      <c r="AP41" s="6">
        <f t="shared" si="40"/>
        <v>0</v>
      </c>
      <c r="AQ41" s="6">
        <f t="shared" si="41"/>
        <v>3215.5002983897816</v>
      </c>
      <c r="AR41" s="6">
        <f t="shared" si="42"/>
        <v>0</v>
      </c>
    </row>
    <row r="42" spans="24:44">
      <c r="X42" s="5">
        <v>0.62713745179574609</v>
      </c>
      <c r="Y42" s="5">
        <v>0.65528037209070011</v>
      </c>
      <c r="Z42" s="5">
        <v>0.83168488826871911</v>
      </c>
      <c r="AA42" s="5">
        <v>0.76754992115389109</v>
      </c>
      <c r="AB42" s="5">
        <v>5.9074068116371503E-2</v>
      </c>
      <c r="AC42" s="5">
        <v>0</v>
      </c>
      <c r="AD42" s="5">
        <v>0.21929575728443296</v>
      </c>
      <c r="AE42" s="5">
        <v>0</v>
      </c>
      <c r="AF42" s="5">
        <v>0.41249312266305316</v>
      </c>
      <c r="AG42" s="5">
        <v>0</v>
      </c>
      <c r="AI42" s="6">
        <f t="shared" si="43"/>
        <v>1131.0640650156404</v>
      </c>
      <c r="AJ42" s="6">
        <f t="shared" si="34"/>
        <v>9951.9650627320298</v>
      </c>
      <c r="AK42" s="6">
        <f t="shared" si="35"/>
        <v>634397.23091211345</v>
      </c>
      <c r="AL42" s="6">
        <f t="shared" si="36"/>
        <v>506612.19951621257</v>
      </c>
      <c r="AM42" s="6">
        <f t="shared" si="37"/>
        <v>3778.9130585656335</v>
      </c>
      <c r="AN42" s="6">
        <f t="shared" si="38"/>
        <v>0</v>
      </c>
      <c r="AO42" s="6">
        <f t="shared" si="39"/>
        <v>63.138769152090809</v>
      </c>
      <c r="AP42" s="6">
        <f t="shared" si="40"/>
        <v>0</v>
      </c>
      <c r="AQ42" s="6">
        <f t="shared" si="41"/>
        <v>1894.4527628640972</v>
      </c>
      <c r="AR42" s="6">
        <f t="shared" si="42"/>
        <v>0</v>
      </c>
    </row>
    <row r="43" spans="24:44">
      <c r="X43" s="5">
        <v>0.80658966673304777</v>
      </c>
      <c r="Y43" s="5">
        <v>0.14306957054988567</v>
      </c>
      <c r="Z43" s="5">
        <v>0.11092777045961577</v>
      </c>
      <c r="AA43" s="5">
        <v>0</v>
      </c>
      <c r="AB43" s="5">
        <v>0</v>
      </c>
      <c r="AC43" s="5">
        <v>0</v>
      </c>
      <c r="AD43" s="5">
        <v>0.48109426534519251</v>
      </c>
      <c r="AE43" s="5">
        <v>0</v>
      </c>
      <c r="AF43" s="5">
        <v>0</v>
      </c>
      <c r="AG43" s="5">
        <v>0</v>
      </c>
      <c r="AI43" s="6">
        <f t="shared" si="43"/>
        <v>1454.712335617013</v>
      </c>
      <c r="AJ43" s="6">
        <f t="shared" si="34"/>
        <v>2172.8460492563941</v>
      </c>
      <c r="AK43" s="6">
        <f t="shared" si="35"/>
        <v>84614.102532661811</v>
      </c>
      <c r="AL43" s="6">
        <f t="shared" si="36"/>
        <v>0</v>
      </c>
      <c r="AM43" s="6">
        <f t="shared" si="37"/>
        <v>0</v>
      </c>
      <c r="AN43" s="6">
        <f t="shared" si="38"/>
        <v>0</v>
      </c>
      <c r="AO43" s="6">
        <f t="shared" si="39"/>
        <v>138.5147626026648</v>
      </c>
      <c r="AP43" s="6">
        <f t="shared" si="40"/>
        <v>0</v>
      </c>
      <c r="AQ43" s="6">
        <f t="shared" si="41"/>
        <v>0</v>
      </c>
      <c r="AR43" s="6">
        <f t="shared" si="42"/>
        <v>0</v>
      </c>
    </row>
    <row r="44" spans="24:44">
      <c r="X44" s="5">
        <v>0</v>
      </c>
      <c r="Y44" s="5">
        <v>0</v>
      </c>
      <c r="Z44" s="5">
        <v>0</v>
      </c>
      <c r="AA44" s="5">
        <v>0</v>
      </c>
      <c r="AB44" s="5">
        <v>0</v>
      </c>
      <c r="AC44" s="5">
        <v>0</v>
      </c>
      <c r="AD44" s="5">
        <v>0</v>
      </c>
      <c r="AE44" s="5">
        <v>0.83359143336978636</v>
      </c>
      <c r="AF44" s="5">
        <v>0</v>
      </c>
      <c r="AG44" s="5">
        <v>0</v>
      </c>
      <c r="AI44" s="6">
        <f t="shared" si="43"/>
        <v>0</v>
      </c>
      <c r="AJ44" s="6">
        <f t="shared" si="34"/>
        <v>0</v>
      </c>
      <c r="AK44" s="6">
        <f t="shared" si="35"/>
        <v>0</v>
      </c>
      <c r="AL44" s="6">
        <f t="shared" si="36"/>
        <v>0</v>
      </c>
      <c r="AM44" s="6">
        <f t="shared" si="37"/>
        <v>0</v>
      </c>
      <c r="AN44" s="6">
        <f t="shared" si="38"/>
        <v>0</v>
      </c>
      <c r="AO44" s="6">
        <f t="shared" si="39"/>
        <v>0</v>
      </c>
      <c r="AP44" s="6">
        <f t="shared" si="40"/>
        <v>3232.9000917040712</v>
      </c>
      <c r="AQ44" s="6">
        <f t="shared" si="41"/>
        <v>0</v>
      </c>
      <c r="AR44" s="6">
        <f t="shared" si="42"/>
        <v>0</v>
      </c>
    </row>
    <row r="45" spans="24:44">
      <c r="X45" s="5">
        <v>0</v>
      </c>
      <c r="Y45" s="5">
        <v>0</v>
      </c>
      <c r="Z45" s="5">
        <v>0</v>
      </c>
      <c r="AA45" s="5">
        <v>0</v>
      </c>
      <c r="AB45" s="5">
        <v>0</v>
      </c>
      <c r="AC45" s="5">
        <v>0</v>
      </c>
      <c r="AD45" s="5">
        <v>0</v>
      </c>
      <c r="AE45" s="5">
        <v>0.65785776494931492</v>
      </c>
      <c r="AF45" s="5">
        <v>0</v>
      </c>
      <c r="AG45" s="5">
        <v>0</v>
      </c>
      <c r="AI45" s="6">
        <f t="shared" si="43"/>
        <v>0</v>
      </c>
      <c r="AJ45" s="6">
        <f t="shared" si="34"/>
        <v>0</v>
      </c>
      <c r="AK45" s="6">
        <f t="shared" si="35"/>
        <v>0</v>
      </c>
      <c r="AL45" s="6">
        <f t="shared" si="36"/>
        <v>0</v>
      </c>
      <c r="AM45" s="6">
        <f t="shared" si="37"/>
        <v>0</v>
      </c>
      <c r="AN45" s="6">
        <f t="shared" si="38"/>
        <v>0</v>
      </c>
      <c r="AO45" s="6">
        <f t="shared" si="39"/>
        <v>0</v>
      </c>
      <c r="AP45" s="6">
        <f t="shared" si="40"/>
        <v>2551.3559082959277</v>
      </c>
      <c r="AQ45" s="6">
        <f t="shared" si="41"/>
        <v>0</v>
      </c>
      <c r="AR45" s="6">
        <f t="shared" si="42"/>
        <v>0</v>
      </c>
    </row>
    <row r="46" spans="24:44">
      <c r="X46" s="5">
        <v>0</v>
      </c>
      <c r="Y46" s="5">
        <v>0</v>
      </c>
      <c r="Z46" s="5">
        <v>0</v>
      </c>
      <c r="AA46" s="5">
        <v>0</v>
      </c>
      <c r="AB46" s="5">
        <v>0</v>
      </c>
      <c r="AC46" s="5">
        <v>0</v>
      </c>
      <c r="AD46" s="5">
        <v>0</v>
      </c>
      <c r="AE46" s="5">
        <v>0</v>
      </c>
      <c r="AF46" s="5">
        <v>0</v>
      </c>
      <c r="AG46" s="5">
        <v>0.74545772468749461</v>
      </c>
      <c r="AI46" s="6">
        <f t="shared" si="43"/>
        <v>0</v>
      </c>
      <c r="AJ46" s="6">
        <f t="shared" si="34"/>
        <v>0</v>
      </c>
      <c r="AK46" s="6">
        <f t="shared" si="35"/>
        <v>0</v>
      </c>
      <c r="AL46" s="6">
        <f t="shared" si="36"/>
        <v>0</v>
      </c>
      <c r="AM46" s="6">
        <f t="shared" si="37"/>
        <v>0</v>
      </c>
      <c r="AN46" s="6">
        <f t="shared" si="38"/>
        <v>0</v>
      </c>
      <c r="AO46" s="6">
        <f t="shared" si="39"/>
        <v>0</v>
      </c>
      <c r="AP46" s="6">
        <f t="shared" si="40"/>
        <v>0</v>
      </c>
      <c r="AQ46" s="6">
        <f t="shared" si="41"/>
        <v>0</v>
      </c>
      <c r="AR46" s="6">
        <f t="shared" si="42"/>
        <v>14834.97014602643</v>
      </c>
    </row>
    <row r="47" spans="24:44">
      <c r="X47" s="5">
        <v>0</v>
      </c>
      <c r="Y47" s="5">
        <v>0</v>
      </c>
      <c r="Z47" s="5">
        <v>0</v>
      </c>
      <c r="AA47" s="5">
        <v>0</v>
      </c>
      <c r="AB47" s="5">
        <v>0</v>
      </c>
      <c r="AC47" s="5">
        <v>0</v>
      </c>
      <c r="AD47" s="5">
        <v>0</v>
      </c>
      <c r="AE47" s="5">
        <v>0</v>
      </c>
      <c r="AF47" s="5">
        <v>0</v>
      </c>
      <c r="AG47" s="5">
        <v>0.31305580280189438</v>
      </c>
      <c r="AI47" s="6">
        <f t="shared" si="43"/>
        <v>0</v>
      </c>
      <c r="AJ47" s="6">
        <f t="shared" si="34"/>
        <v>0</v>
      </c>
      <c r="AK47" s="6">
        <f t="shared" si="35"/>
        <v>0</v>
      </c>
      <c r="AL47" s="6">
        <f t="shared" si="36"/>
        <v>0</v>
      </c>
      <c r="AM47" s="6">
        <f t="shared" si="37"/>
        <v>0</v>
      </c>
      <c r="AN47" s="6">
        <f t="shared" si="38"/>
        <v>0</v>
      </c>
      <c r="AO47" s="6">
        <f t="shared" si="39"/>
        <v>0</v>
      </c>
      <c r="AP47" s="6">
        <f t="shared" si="40"/>
        <v>0</v>
      </c>
      <c r="AQ47" s="6">
        <f t="shared" si="41"/>
        <v>0</v>
      </c>
      <c r="AR47" s="6">
        <f t="shared" si="42"/>
        <v>6229.9622564825358</v>
      </c>
    </row>
    <row r="48" spans="24:44">
      <c r="X48" s="5">
        <v>0</v>
      </c>
      <c r="Y48" s="5">
        <v>0</v>
      </c>
      <c r="Z48" s="5">
        <v>0</v>
      </c>
      <c r="AA48" s="5">
        <v>0</v>
      </c>
      <c r="AB48" s="5">
        <v>0</v>
      </c>
      <c r="AC48" s="5">
        <v>0</v>
      </c>
      <c r="AD48" s="5">
        <v>0</v>
      </c>
      <c r="AE48" s="5">
        <v>0</v>
      </c>
      <c r="AF48" s="5">
        <v>0</v>
      </c>
      <c r="AG48" s="5">
        <v>4.7792100682372274E-3</v>
      </c>
      <c r="AI48" s="6">
        <f t="shared" si="43"/>
        <v>0</v>
      </c>
      <c r="AJ48" s="6">
        <f t="shared" si="34"/>
        <v>0</v>
      </c>
      <c r="AK48" s="6">
        <f t="shared" si="35"/>
        <v>0</v>
      </c>
      <c r="AL48" s="6">
        <f t="shared" si="36"/>
        <v>0</v>
      </c>
      <c r="AM48" s="6">
        <f t="shared" si="37"/>
        <v>0</v>
      </c>
      <c r="AN48" s="6">
        <f t="shared" si="38"/>
        <v>0</v>
      </c>
      <c r="AO48" s="6">
        <f t="shared" si="39"/>
        <v>0</v>
      </c>
      <c r="AP48" s="6">
        <f t="shared" si="40"/>
        <v>0</v>
      </c>
      <c r="AQ48" s="6">
        <f t="shared" si="41"/>
        <v>0</v>
      </c>
      <c r="AR48" s="6">
        <f t="shared" si="42"/>
        <v>95.108597491038353</v>
      </c>
    </row>
    <row r="49" spans="24:44">
      <c r="X49" s="36">
        <v>0</v>
      </c>
      <c r="Y49" s="36">
        <v>0</v>
      </c>
      <c r="Z49" s="36">
        <v>2.5000000000000001E-3</v>
      </c>
      <c r="AA49" s="36">
        <v>5.0000000000000001E-3</v>
      </c>
      <c r="AB49" s="36">
        <v>0.01</v>
      </c>
      <c r="AC49" s="36">
        <v>0</v>
      </c>
      <c r="AD49" s="36">
        <v>0</v>
      </c>
      <c r="AE49" s="36">
        <v>0</v>
      </c>
      <c r="AF49" s="36">
        <v>0</v>
      </c>
      <c r="AG49" s="36">
        <v>0</v>
      </c>
      <c r="AI49" s="6">
        <f t="shared" si="43"/>
        <v>0</v>
      </c>
      <c r="AJ49" s="6">
        <f t="shared" si="34"/>
        <v>0</v>
      </c>
      <c r="AK49" s="6">
        <f t="shared" si="35"/>
        <v>1906.9639230571736</v>
      </c>
      <c r="AL49" s="6">
        <f t="shared" si="36"/>
        <v>3300.190551479704</v>
      </c>
      <c r="AM49" s="6">
        <f t="shared" si="37"/>
        <v>639.69067630850429</v>
      </c>
      <c r="AN49" s="6">
        <f t="shared" si="38"/>
        <v>0</v>
      </c>
      <c r="AO49" s="6">
        <f t="shared" si="39"/>
        <v>0</v>
      </c>
      <c r="AP49" s="6">
        <f t="shared" si="40"/>
        <v>0</v>
      </c>
      <c r="AQ49" s="6">
        <f t="shared" si="41"/>
        <v>0</v>
      </c>
      <c r="AR49" s="6">
        <f t="shared" si="42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0FB96-22CB-4B43-9A87-9AB2DFEB458D}">
  <dimension ref="A1:AH30"/>
  <sheetViews>
    <sheetView zoomScaleNormal="100" workbookViewId="0">
      <selection activeCell="F6" activeCellId="1" sqref="J6 F6"/>
    </sheetView>
  </sheetViews>
  <sheetFormatPr defaultRowHeight="14.4"/>
  <sheetData>
    <row r="1" spans="1:34">
      <c r="B1" s="4" t="s">
        <v>20</v>
      </c>
      <c r="C1" s="4" t="s">
        <v>21</v>
      </c>
      <c r="D1" s="4" t="s">
        <v>22</v>
      </c>
      <c r="E1" s="4" t="s">
        <v>23</v>
      </c>
      <c r="F1" s="4" t="s">
        <v>24</v>
      </c>
      <c r="G1" s="4" t="s">
        <v>25</v>
      </c>
      <c r="H1" s="4" t="s">
        <v>26</v>
      </c>
      <c r="I1" s="4" t="s">
        <v>27</v>
      </c>
      <c r="J1" s="4" t="s">
        <v>28</v>
      </c>
      <c r="K1" s="4" t="s">
        <v>29</v>
      </c>
    </row>
    <row r="2" spans="1:34">
      <c r="B2" t="s">
        <v>123</v>
      </c>
      <c r="C2" t="s">
        <v>123</v>
      </c>
      <c r="D2" t="s">
        <v>123</v>
      </c>
      <c r="E2" t="s">
        <v>123</v>
      </c>
      <c r="F2" t="s">
        <v>123</v>
      </c>
      <c r="G2" t="s">
        <v>123</v>
      </c>
      <c r="H2" t="s">
        <v>123</v>
      </c>
      <c r="I2" t="s">
        <v>123</v>
      </c>
      <c r="J2" t="s">
        <v>123</v>
      </c>
      <c r="K2" t="s">
        <v>123</v>
      </c>
      <c r="M2" s="4"/>
      <c r="N2" s="4"/>
      <c r="O2" s="4"/>
      <c r="P2" s="4"/>
      <c r="Q2" s="4"/>
      <c r="R2" s="4"/>
      <c r="S2" s="4"/>
      <c r="T2" s="4"/>
      <c r="U2" s="4"/>
      <c r="V2" s="4"/>
    </row>
    <row r="3" spans="1:34">
      <c r="A3" t="s">
        <v>128</v>
      </c>
      <c r="B3" s="1">
        <v>34</v>
      </c>
      <c r="C3" s="1">
        <v>40</v>
      </c>
      <c r="D3" s="1">
        <v>10</v>
      </c>
      <c r="E3" s="1">
        <v>5.5</v>
      </c>
      <c r="F3" s="1">
        <v>40.31333333333334</v>
      </c>
      <c r="G3" s="1">
        <v>4.4000000000000004</v>
      </c>
      <c r="H3" s="1">
        <v>27</v>
      </c>
      <c r="I3" s="15">
        <v>24.25</v>
      </c>
      <c r="J3" s="1">
        <v>32</v>
      </c>
      <c r="K3" s="1">
        <v>153.36904761904762</v>
      </c>
      <c r="M3" s="4"/>
      <c r="N3" s="4"/>
      <c r="O3" s="4"/>
      <c r="P3" s="4"/>
      <c r="Q3" s="4"/>
      <c r="R3" s="4"/>
      <c r="S3" s="4"/>
      <c r="T3" s="4"/>
      <c r="U3" s="4"/>
      <c r="V3" s="4"/>
    </row>
    <row r="4" spans="1:34">
      <c r="A4" t="s">
        <v>129</v>
      </c>
      <c r="B4" s="1">
        <v>38</v>
      </c>
      <c r="C4" s="1">
        <v>68</v>
      </c>
      <c r="D4" s="1">
        <v>11</v>
      </c>
      <c r="E4" s="1">
        <v>8.4499999999999993</v>
      </c>
      <c r="F4" s="1">
        <v>65</v>
      </c>
      <c r="G4" s="1">
        <v>7.1</v>
      </c>
      <c r="H4" s="1">
        <v>43.53</v>
      </c>
      <c r="I4" s="15">
        <v>40</v>
      </c>
      <c r="J4" s="1">
        <v>38</v>
      </c>
      <c r="K4" s="1">
        <v>284</v>
      </c>
      <c r="M4" s="35"/>
      <c r="N4" s="4"/>
      <c r="O4" s="4"/>
      <c r="P4" s="4"/>
      <c r="Q4" s="4"/>
      <c r="R4" s="4"/>
      <c r="S4" s="4"/>
      <c r="T4" s="4"/>
      <c r="U4" s="4"/>
      <c r="V4" s="4"/>
    </row>
    <row r="5" spans="1:34">
      <c r="A5" t="s">
        <v>130</v>
      </c>
      <c r="B5" s="1">
        <v>17.5</v>
      </c>
      <c r="C5" s="1">
        <v>23</v>
      </c>
      <c r="D5" s="1">
        <v>8.6</v>
      </c>
      <c r="E5" s="1">
        <v>1.5</v>
      </c>
      <c r="F5" s="1">
        <v>31.5</v>
      </c>
      <c r="G5" s="1">
        <v>2.62</v>
      </c>
      <c r="H5" s="1">
        <v>21.1</v>
      </c>
      <c r="I5" s="15">
        <v>8.5</v>
      </c>
      <c r="J5" s="1">
        <v>19.3</v>
      </c>
      <c r="K5" s="1">
        <v>71</v>
      </c>
      <c r="M5" s="4"/>
      <c r="N5" s="4"/>
      <c r="O5" s="4"/>
      <c r="P5" s="4"/>
      <c r="Q5" s="4"/>
      <c r="R5" s="4"/>
      <c r="S5" s="4"/>
      <c r="T5" s="4"/>
      <c r="U5" s="4"/>
      <c r="V5" s="4"/>
    </row>
    <row r="6" spans="1:34">
      <c r="A6" t="s">
        <v>131</v>
      </c>
      <c r="B6" s="1">
        <v>1.1176470588235294</v>
      </c>
      <c r="C6" s="1">
        <v>1.7</v>
      </c>
      <c r="D6" s="1">
        <v>1.1000000000000001</v>
      </c>
      <c r="E6" s="1">
        <v>1.5363636363636362</v>
      </c>
      <c r="F6" s="1">
        <v>1.6123697701339506</v>
      </c>
      <c r="G6" s="1">
        <v>1.6136363636363635</v>
      </c>
      <c r="H6" s="1">
        <v>1.5185185185185186</v>
      </c>
      <c r="I6" s="1">
        <v>1.6494845360824741</v>
      </c>
      <c r="J6" s="1">
        <v>1.1875</v>
      </c>
      <c r="K6" s="1">
        <v>1.8517426065357447</v>
      </c>
      <c r="M6" s="4"/>
      <c r="N6" s="4"/>
      <c r="O6" s="4"/>
      <c r="P6" s="4"/>
      <c r="Q6" s="4"/>
      <c r="R6" s="4"/>
      <c r="S6" s="4"/>
      <c r="T6" s="4"/>
      <c r="U6" s="4"/>
      <c r="V6" s="4"/>
    </row>
    <row r="7" spans="1:34">
      <c r="A7" t="s">
        <v>132</v>
      </c>
      <c r="B7" s="1">
        <v>0.51470588235294112</v>
      </c>
      <c r="C7" s="1">
        <v>0.57499999999999996</v>
      </c>
      <c r="D7" s="1">
        <v>0.86</v>
      </c>
      <c r="E7" s="1">
        <v>0.27272727272727271</v>
      </c>
      <c r="F7" s="1">
        <v>0.78137919629568364</v>
      </c>
      <c r="G7" s="1">
        <v>0.59545454545454546</v>
      </c>
      <c r="H7" s="1">
        <v>1</v>
      </c>
      <c r="I7" s="1">
        <v>0.35051546391752575</v>
      </c>
      <c r="J7" s="1">
        <v>0.60312500000000002</v>
      </c>
      <c r="K7" s="1">
        <v>0.46293565163393618</v>
      </c>
      <c r="M7" s="17" t="s">
        <v>135</v>
      </c>
      <c r="N7" s="4"/>
      <c r="O7" s="4"/>
      <c r="P7" s="4"/>
      <c r="Q7" s="4"/>
      <c r="R7" s="4"/>
      <c r="S7" s="4"/>
      <c r="T7" s="4"/>
      <c r="U7" s="4"/>
      <c r="V7" s="4"/>
    </row>
    <row r="8" spans="1:34">
      <c r="A8" t="s">
        <v>0</v>
      </c>
      <c r="B8" s="18">
        <f t="shared" ref="B8:B27" si="0">M8*$B$3</f>
        <v>0</v>
      </c>
      <c r="C8" s="18">
        <f t="shared" ref="C8:C27" si="1">N8*$C$3</f>
        <v>0</v>
      </c>
      <c r="D8" s="18">
        <f t="shared" ref="D8:D27" si="2">O8*$D$3</f>
        <v>10</v>
      </c>
      <c r="E8" s="18">
        <f t="shared" ref="E8:E27" si="3">P8*$E$3</f>
        <v>0</v>
      </c>
      <c r="F8" s="18">
        <f t="shared" ref="F8:F27" si="4">Q8*$F$3</f>
        <v>40.31333333333334</v>
      </c>
      <c r="G8" s="18">
        <f t="shared" ref="G8:G27" si="5">R8*$G$3</f>
        <v>4.4000000000000004</v>
      </c>
      <c r="H8" s="18">
        <f t="shared" ref="H8:H27" si="6">S8*$H$3</f>
        <v>27</v>
      </c>
      <c r="I8" s="18">
        <f t="shared" ref="I8:I27" si="7">T8*$I$3</f>
        <v>0</v>
      </c>
      <c r="J8" s="18">
        <f t="shared" ref="J8:J27" si="8">U8*$J$3</f>
        <v>0</v>
      </c>
      <c r="K8" s="18">
        <f t="shared" ref="K8:K27" si="9">V8*$K$3</f>
        <v>0</v>
      </c>
      <c r="M8">
        <f>IF(Availability!B8=0,0,1)</f>
        <v>0</v>
      </c>
      <c r="N8">
        <f>IF(Availability!C8=0,0,1)</f>
        <v>0</v>
      </c>
      <c r="O8">
        <f>IF(Availability!D8=0,0,1)</f>
        <v>1</v>
      </c>
      <c r="P8">
        <f>IF(Availability!E8=0,0,1)</f>
        <v>0</v>
      </c>
      <c r="Q8">
        <f>IF(Availability!F8=0,0,1)</f>
        <v>1</v>
      </c>
      <c r="R8">
        <f>IF(Availability!G8=0,0,1)</f>
        <v>1</v>
      </c>
      <c r="S8">
        <f>IF(Availability!H8=0,0,1)</f>
        <v>1</v>
      </c>
      <c r="T8">
        <f>IF(Availability!I8=0,0,1)</f>
        <v>0</v>
      </c>
      <c r="U8">
        <f>IF(Availability!J8=0,0,1)</f>
        <v>0</v>
      </c>
      <c r="V8">
        <f>IF(Availability!K8=0,0,1)</f>
        <v>0</v>
      </c>
    </row>
    <row r="9" spans="1:34">
      <c r="A9" t="s">
        <v>1</v>
      </c>
      <c r="B9" s="18">
        <f t="shared" si="0"/>
        <v>34</v>
      </c>
      <c r="C9" s="18">
        <f t="shared" si="1"/>
        <v>40</v>
      </c>
      <c r="D9" s="18">
        <f t="shared" si="2"/>
        <v>0</v>
      </c>
      <c r="E9" s="18">
        <f t="shared" si="3"/>
        <v>5.5</v>
      </c>
      <c r="F9" s="18">
        <f t="shared" si="4"/>
        <v>0</v>
      </c>
      <c r="G9" s="18">
        <f t="shared" si="5"/>
        <v>0</v>
      </c>
      <c r="H9" s="18">
        <f t="shared" si="6"/>
        <v>0</v>
      </c>
      <c r="I9" s="18">
        <f t="shared" si="7"/>
        <v>0</v>
      </c>
      <c r="J9" s="18">
        <f t="shared" si="8"/>
        <v>0</v>
      </c>
      <c r="K9" s="18">
        <f t="shared" si="9"/>
        <v>0</v>
      </c>
      <c r="L9" s="4"/>
      <c r="M9">
        <f>IF(Availability!B9=0,0,1)</f>
        <v>1</v>
      </c>
      <c r="N9">
        <f>IF(Availability!C9=0,0,1)</f>
        <v>1</v>
      </c>
      <c r="O9">
        <f>IF(Availability!D9=0,0,1)</f>
        <v>0</v>
      </c>
      <c r="P9">
        <f>IF(Availability!E9=0,0,1)</f>
        <v>1</v>
      </c>
      <c r="Q9">
        <f>IF(Availability!F9=0,0,1)</f>
        <v>0</v>
      </c>
      <c r="R9">
        <f>IF(Availability!G9=0,0,1)</f>
        <v>0</v>
      </c>
      <c r="S9">
        <f>IF(Availability!H9=0,0,1)</f>
        <v>0</v>
      </c>
      <c r="T9">
        <f>IF(Availability!I9=0,0,1)</f>
        <v>0</v>
      </c>
      <c r="U9">
        <f>IF(Availability!J9=0,0,1)</f>
        <v>0</v>
      </c>
      <c r="V9">
        <f>IF(Availability!K9=0,0,1)</f>
        <v>0</v>
      </c>
    </row>
    <row r="10" spans="1:34">
      <c r="A10" t="s">
        <v>2</v>
      </c>
      <c r="B10" s="18">
        <f t="shared" si="0"/>
        <v>34</v>
      </c>
      <c r="C10" s="18">
        <f t="shared" si="1"/>
        <v>0</v>
      </c>
      <c r="D10" s="18">
        <f t="shared" si="2"/>
        <v>0</v>
      </c>
      <c r="E10" s="18">
        <f t="shared" si="3"/>
        <v>5.5</v>
      </c>
      <c r="F10" s="18">
        <f t="shared" si="4"/>
        <v>40.31333333333334</v>
      </c>
      <c r="G10" s="18">
        <f t="shared" si="5"/>
        <v>0</v>
      </c>
      <c r="H10" s="18">
        <f t="shared" si="6"/>
        <v>0</v>
      </c>
      <c r="I10" s="18">
        <f t="shared" si="7"/>
        <v>0</v>
      </c>
      <c r="J10" s="18">
        <f t="shared" si="8"/>
        <v>0</v>
      </c>
      <c r="K10" s="18">
        <f t="shared" si="9"/>
        <v>0</v>
      </c>
      <c r="L10" s="4"/>
      <c r="M10">
        <f>IF(Availability!B10=0,0,1)</f>
        <v>1</v>
      </c>
      <c r="N10">
        <f>IF(Availability!C10=0,0,1)</f>
        <v>0</v>
      </c>
      <c r="O10">
        <f>IF(Availability!D10=0,0,1)</f>
        <v>0</v>
      </c>
      <c r="P10">
        <f>IF(Availability!E10=0,0,1)</f>
        <v>1</v>
      </c>
      <c r="Q10">
        <f>IF(Availability!F10=0,0,1)</f>
        <v>1</v>
      </c>
      <c r="R10">
        <f>IF(Availability!G10=0,0,1)</f>
        <v>0</v>
      </c>
      <c r="S10">
        <f>IF(Availability!H10=0,0,1)</f>
        <v>0</v>
      </c>
      <c r="T10">
        <f>IF(Availability!I10=0,0,1)</f>
        <v>0</v>
      </c>
      <c r="U10">
        <f>IF(Availability!J10=0,0,1)</f>
        <v>0</v>
      </c>
      <c r="V10">
        <f>IF(Availability!K10=0,0,1)</f>
        <v>0</v>
      </c>
    </row>
    <row r="11" spans="1:34">
      <c r="A11" t="s">
        <v>3</v>
      </c>
      <c r="B11" s="18">
        <f t="shared" si="0"/>
        <v>0</v>
      </c>
      <c r="C11" s="18">
        <f t="shared" si="1"/>
        <v>0</v>
      </c>
      <c r="D11" s="18">
        <f t="shared" si="2"/>
        <v>0</v>
      </c>
      <c r="E11" s="18">
        <f t="shared" si="3"/>
        <v>0</v>
      </c>
      <c r="F11" s="18">
        <f t="shared" si="4"/>
        <v>40.31333333333334</v>
      </c>
      <c r="G11" s="18">
        <f t="shared" si="5"/>
        <v>4.4000000000000004</v>
      </c>
      <c r="H11" s="18">
        <f t="shared" si="6"/>
        <v>27</v>
      </c>
      <c r="I11" s="18">
        <f t="shared" si="7"/>
        <v>0</v>
      </c>
      <c r="J11" s="18">
        <f t="shared" si="8"/>
        <v>0</v>
      </c>
      <c r="K11" s="18">
        <f t="shared" si="9"/>
        <v>0</v>
      </c>
      <c r="L11" s="4"/>
      <c r="M11">
        <f>IF(Availability!B11=0,0,1)</f>
        <v>0</v>
      </c>
      <c r="N11">
        <f>IF(Availability!C11=0,0,1)</f>
        <v>0</v>
      </c>
      <c r="O11">
        <f>IF(Availability!D11=0,0,1)</f>
        <v>0</v>
      </c>
      <c r="P11">
        <f>IF(Availability!E11=0,0,1)</f>
        <v>0</v>
      </c>
      <c r="Q11">
        <f>IF(Availability!F11=0,0,1)</f>
        <v>1</v>
      </c>
      <c r="R11">
        <f>IF(Availability!G11=0,0,1)</f>
        <v>1</v>
      </c>
      <c r="S11">
        <f>IF(Availability!H11=0,0,1)</f>
        <v>1</v>
      </c>
      <c r="T11">
        <f>IF(Availability!I11=0,0,1)</f>
        <v>0</v>
      </c>
      <c r="U11">
        <f>IF(Availability!J11=0,0,1)</f>
        <v>0</v>
      </c>
      <c r="V11">
        <f>IF(Availability!K11=0,0,1)</f>
        <v>0</v>
      </c>
    </row>
    <row r="12" spans="1:34">
      <c r="A12" t="s">
        <v>4</v>
      </c>
      <c r="B12" s="18">
        <f t="shared" si="0"/>
        <v>34</v>
      </c>
      <c r="C12" s="18">
        <f t="shared" si="1"/>
        <v>0</v>
      </c>
      <c r="D12" s="18">
        <f t="shared" si="2"/>
        <v>10</v>
      </c>
      <c r="E12" s="18">
        <f t="shared" si="3"/>
        <v>5.5</v>
      </c>
      <c r="F12" s="18">
        <f t="shared" si="4"/>
        <v>40.31333333333334</v>
      </c>
      <c r="G12" s="18">
        <f t="shared" si="5"/>
        <v>0</v>
      </c>
      <c r="H12" s="18">
        <f t="shared" si="6"/>
        <v>0</v>
      </c>
      <c r="I12" s="18">
        <f t="shared" si="7"/>
        <v>0</v>
      </c>
      <c r="J12" s="18">
        <f t="shared" si="8"/>
        <v>32</v>
      </c>
      <c r="K12" s="18">
        <f t="shared" si="9"/>
        <v>0</v>
      </c>
      <c r="L12" s="4"/>
      <c r="M12">
        <f>IF(Availability!B12=0,0,1)</f>
        <v>1</v>
      </c>
      <c r="N12">
        <f>IF(Availability!C12=0,0,1)</f>
        <v>0</v>
      </c>
      <c r="O12">
        <f>IF(Availability!D12=0,0,1)</f>
        <v>1</v>
      </c>
      <c r="P12">
        <f>IF(Availability!E12=0,0,1)</f>
        <v>1</v>
      </c>
      <c r="Q12">
        <f>IF(Availability!F12=0,0,1)</f>
        <v>1</v>
      </c>
      <c r="R12">
        <f>IF(Availability!G12=0,0,1)</f>
        <v>0</v>
      </c>
      <c r="S12">
        <f>IF(Availability!H12=0,0,1)</f>
        <v>0</v>
      </c>
      <c r="T12">
        <f>IF(Availability!I12=0,0,1)</f>
        <v>0</v>
      </c>
      <c r="U12">
        <f>IF(Availability!J12=0,0,1)</f>
        <v>1</v>
      </c>
      <c r="V12">
        <f>IF(Availability!K12=0,0,1)</f>
        <v>0</v>
      </c>
    </row>
    <row r="13" spans="1:34">
      <c r="A13" t="s">
        <v>5</v>
      </c>
      <c r="B13" s="18">
        <f t="shared" si="0"/>
        <v>34</v>
      </c>
      <c r="C13" s="18">
        <f t="shared" si="1"/>
        <v>40</v>
      </c>
      <c r="D13" s="18">
        <f t="shared" si="2"/>
        <v>10</v>
      </c>
      <c r="E13" s="18">
        <f t="shared" si="3"/>
        <v>5.5</v>
      </c>
      <c r="F13" s="18">
        <f t="shared" si="4"/>
        <v>0</v>
      </c>
      <c r="G13" s="18">
        <f t="shared" si="5"/>
        <v>4.4000000000000004</v>
      </c>
      <c r="H13" s="18">
        <f t="shared" si="6"/>
        <v>27</v>
      </c>
      <c r="I13" s="18">
        <f t="shared" si="7"/>
        <v>0</v>
      </c>
      <c r="J13" s="18">
        <f t="shared" si="8"/>
        <v>0</v>
      </c>
      <c r="K13" s="18">
        <f t="shared" si="9"/>
        <v>0</v>
      </c>
      <c r="L13" s="4"/>
      <c r="M13">
        <f>IF(Availability!B13=0,0,1)</f>
        <v>1</v>
      </c>
      <c r="N13">
        <f>IF(Availability!C13=0,0,1)</f>
        <v>1</v>
      </c>
      <c r="O13">
        <f>IF(Availability!D13=0,0,1)</f>
        <v>1</v>
      </c>
      <c r="P13">
        <f>IF(Availability!E13=0,0,1)</f>
        <v>1</v>
      </c>
      <c r="Q13">
        <f>IF(Availability!F13=0,0,1)</f>
        <v>0</v>
      </c>
      <c r="R13">
        <f>IF(Availability!G13=0,0,1)</f>
        <v>1</v>
      </c>
      <c r="S13">
        <f>IF(Availability!H13=0,0,1)</f>
        <v>1</v>
      </c>
      <c r="T13">
        <f>IF(Availability!I13=0,0,1)</f>
        <v>0</v>
      </c>
      <c r="U13">
        <f>IF(Availability!J13=0,0,1)</f>
        <v>0</v>
      </c>
      <c r="V13">
        <f>IF(Availability!K13=0,0,1)</f>
        <v>0</v>
      </c>
      <c r="X13" s="4"/>
      <c r="Y13" s="1"/>
      <c r="Z13" s="1"/>
      <c r="AA13" s="1"/>
      <c r="AB13" s="1"/>
      <c r="AC13" s="1"/>
      <c r="AD13" s="1"/>
      <c r="AE13" s="1"/>
      <c r="AF13" s="1"/>
      <c r="AG13" s="1"/>
      <c r="AH13" s="1"/>
    </row>
    <row r="14" spans="1:34">
      <c r="A14" t="s">
        <v>6</v>
      </c>
      <c r="B14" s="18">
        <f t="shared" si="0"/>
        <v>0</v>
      </c>
      <c r="C14" s="18">
        <f t="shared" si="1"/>
        <v>0</v>
      </c>
      <c r="D14" s="18">
        <f t="shared" si="2"/>
        <v>10</v>
      </c>
      <c r="E14" s="18">
        <f t="shared" si="3"/>
        <v>5.5</v>
      </c>
      <c r="F14" s="18">
        <f t="shared" si="4"/>
        <v>0</v>
      </c>
      <c r="G14" s="18">
        <f t="shared" si="5"/>
        <v>0</v>
      </c>
      <c r="H14" s="18">
        <f t="shared" si="6"/>
        <v>27</v>
      </c>
      <c r="I14" s="18">
        <f t="shared" si="7"/>
        <v>0</v>
      </c>
      <c r="J14" s="18">
        <f t="shared" si="8"/>
        <v>0</v>
      </c>
      <c r="K14" s="18">
        <f t="shared" si="9"/>
        <v>0</v>
      </c>
      <c r="L14" s="4"/>
      <c r="M14">
        <f>IF(Availability!B14=0,0,1)</f>
        <v>0</v>
      </c>
      <c r="N14">
        <f>IF(Availability!C14=0,0,1)</f>
        <v>0</v>
      </c>
      <c r="O14">
        <f>IF(Availability!D14=0,0,1)</f>
        <v>1</v>
      </c>
      <c r="P14">
        <f>IF(Availability!E14=0,0,1)</f>
        <v>1</v>
      </c>
      <c r="Q14">
        <f>IF(Availability!F14=0,0,1)</f>
        <v>0</v>
      </c>
      <c r="R14">
        <f>IF(Availability!G14=0,0,1)</f>
        <v>0</v>
      </c>
      <c r="S14">
        <f>IF(Availability!H14=0,0,1)</f>
        <v>1</v>
      </c>
      <c r="T14">
        <f>IF(Availability!I14=0,0,1)</f>
        <v>0</v>
      </c>
      <c r="U14">
        <f>IF(Availability!J14=0,0,1)</f>
        <v>0</v>
      </c>
      <c r="V14">
        <f>IF(Availability!K14=0,0,1)</f>
        <v>0</v>
      </c>
      <c r="X14" s="4"/>
      <c r="Y14" s="1"/>
      <c r="Z14" s="1"/>
      <c r="AA14" s="1"/>
      <c r="AB14" s="1"/>
      <c r="AC14" s="1"/>
    </row>
    <row r="15" spans="1:34">
      <c r="A15" t="s">
        <v>7</v>
      </c>
      <c r="B15" s="18">
        <f t="shared" si="0"/>
        <v>0</v>
      </c>
      <c r="C15" s="18">
        <f t="shared" si="1"/>
        <v>0</v>
      </c>
      <c r="D15" s="18">
        <f t="shared" si="2"/>
        <v>10</v>
      </c>
      <c r="E15" s="18">
        <f t="shared" si="3"/>
        <v>5.5</v>
      </c>
      <c r="F15" s="18">
        <f t="shared" si="4"/>
        <v>40.31333333333334</v>
      </c>
      <c r="G15" s="18">
        <f t="shared" si="5"/>
        <v>4.4000000000000004</v>
      </c>
      <c r="H15" s="18">
        <f t="shared" si="6"/>
        <v>27</v>
      </c>
      <c r="I15" s="18">
        <f t="shared" si="7"/>
        <v>0</v>
      </c>
      <c r="J15" s="18">
        <f t="shared" si="8"/>
        <v>32</v>
      </c>
      <c r="K15" s="18">
        <f t="shared" si="9"/>
        <v>0</v>
      </c>
      <c r="L15" s="4"/>
      <c r="M15">
        <f>IF(Availability!B15=0,0,1)</f>
        <v>0</v>
      </c>
      <c r="N15">
        <f>IF(Availability!C15=0,0,1)</f>
        <v>0</v>
      </c>
      <c r="O15">
        <f>IF(Availability!D15=0,0,1)</f>
        <v>1</v>
      </c>
      <c r="P15">
        <f>IF(Availability!E15=0,0,1)</f>
        <v>1</v>
      </c>
      <c r="Q15">
        <f>IF(Availability!F15=0,0,1)</f>
        <v>1</v>
      </c>
      <c r="R15">
        <f>IF(Availability!G15=0,0,1)</f>
        <v>1</v>
      </c>
      <c r="S15">
        <f>IF(Availability!H15=0,0,1)</f>
        <v>1</v>
      </c>
      <c r="T15">
        <f>IF(Availability!I15=0,0,1)</f>
        <v>0</v>
      </c>
      <c r="U15">
        <f>IF(Availability!J15=0,0,1)</f>
        <v>1</v>
      </c>
      <c r="V15">
        <f>IF(Availability!K15=0,0,1)</f>
        <v>0</v>
      </c>
      <c r="X15" s="4"/>
      <c r="Y15" s="15"/>
      <c r="Z15" s="15"/>
      <c r="AA15" s="15"/>
      <c r="AB15" s="1"/>
      <c r="AC15" s="1"/>
    </row>
    <row r="16" spans="1:34">
      <c r="A16" t="s">
        <v>8</v>
      </c>
      <c r="B16" s="18">
        <f t="shared" si="0"/>
        <v>34</v>
      </c>
      <c r="C16" s="18">
        <f t="shared" si="1"/>
        <v>0</v>
      </c>
      <c r="D16" s="18">
        <f t="shared" si="2"/>
        <v>0</v>
      </c>
      <c r="E16" s="18">
        <f t="shared" si="3"/>
        <v>0</v>
      </c>
      <c r="F16" s="18">
        <f t="shared" si="4"/>
        <v>0</v>
      </c>
      <c r="G16" s="18">
        <f t="shared" si="5"/>
        <v>0</v>
      </c>
      <c r="H16" s="18">
        <f t="shared" si="6"/>
        <v>27</v>
      </c>
      <c r="I16" s="18">
        <f t="shared" si="7"/>
        <v>0</v>
      </c>
      <c r="J16" s="18">
        <f t="shared" si="8"/>
        <v>32</v>
      </c>
      <c r="K16" s="18">
        <f t="shared" si="9"/>
        <v>0</v>
      </c>
      <c r="L16" s="4"/>
      <c r="M16">
        <f>IF(Availability!B16=0,0,1)</f>
        <v>1</v>
      </c>
      <c r="N16">
        <f>IF(Availability!C16=0,0,1)</f>
        <v>0</v>
      </c>
      <c r="O16">
        <f>IF(Availability!D16=0,0,1)</f>
        <v>0</v>
      </c>
      <c r="P16">
        <f>IF(Availability!E16=0,0,1)</f>
        <v>0</v>
      </c>
      <c r="Q16">
        <f>IF(Availability!F16=0,0,1)</f>
        <v>0</v>
      </c>
      <c r="R16">
        <f>IF(Availability!G16=0,0,1)</f>
        <v>0</v>
      </c>
      <c r="S16">
        <f>IF(Availability!H16=0,0,1)</f>
        <v>1</v>
      </c>
      <c r="T16">
        <f>IF(Availability!I16=0,0,1)</f>
        <v>0</v>
      </c>
      <c r="U16">
        <f>IF(Availability!J16=0,0,1)</f>
        <v>1</v>
      </c>
      <c r="V16">
        <f>IF(Availability!K16=0,0,1)</f>
        <v>0</v>
      </c>
      <c r="Y16" s="4"/>
      <c r="Z16" s="4"/>
      <c r="AA16" s="4"/>
      <c r="AB16" s="4"/>
      <c r="AC16" s="4"/>
      <c r="AD16" s="4"/>
      <c r="AE16" s="4"/>
      <c r="AF16" s="4"/>
      <c r="AG16" s="4"/>
      <c r="AH16" s="4"/>
    </row>
    <row r="17" spans="1:29">
      <c r="A17" t="s">
        <v>9</v>
      </c>
      <c r="B17" s="18">
        <f t="shared" si="0"/>
        <v>34</v>
      </c>
      <c r="C17" s="18">
        <f t="shared" si="1"/>
        <v>0</v>
      </c>
      <c r="D17" s="18">
        <f t="shared" si="2"/>
        <v>0</v>
      </c>
      <c r="E17" s="18">
        <f t="shared" si="3"/>
        <v>0</v>
      </c>
      <c r="F17" s="18">
        <f t="shared" si="4"/>
        <v>0</v>
      </c>
      <c r="G17" s="18">
        <f t="shared" si="5"/>
        <v>0</v>
      </c>
      <c r="H17" s="18">
        <f t="shared" si="6"/>
        <v>27</v>
      </c>
      <c r="I17" s="18">
        <f t="shared" si="7"/>
        <v>0</v>
      </c>
      <c r="J17" s="18">
        <f t="shared" si="8"/>
        <v>32</v>
      </c>
      <c r="K17" s="18">
        <f t="shared" si="9"/>
        <v>0</v>
      </c>
      <c r="L17" s="4"/>
      <c r="M17">
        <f>IF(Availability!B17=0,0,1)</f>
        <v>1</v>
      </c>
      <c r="N17">
        <f>IF(Availability!C17=0,0,1)</f>
        <v>0</v>
      </c>
      <c r="O17">
        <f>IF(Availability!D17=0,0,1)</f>
        <v>0</v>
      </c>
      <c r="P17">
        <f>IF(Availability!E17=0,0,1)</f>
        <v>0</v>
      </c>
      <c r="Q17">
        <f>IF(Availability!F17=0,0,1)</f>
        <v>0</v>
      </c>
      <c r="R17">
        <f>IF(Availability!G17=0,0,1)</f>
        <v>0</v>
      </c>
      <c r="S17">
        <f>IF(Availability!H17=0,0,1)</f>
        <v>1</v>
      </c>
      <c r="T17">
        <f>IF(Availability!I17=0,0,1)</f>
        <v>0</v>
      </c>
      <c r="U17">
        <f>IF(Availability!J17=0,0,1)</f>
        <v>1</v>
      </c>
      <c r="V17">
        <f>IF(Availability!K17=0,0,1)</f>
        <v>0</v>
      </c>
    </row>
    <row r="18" spans="1:29">
      <c r="A18" t="s">
        <v>10</v>
      </c>
      <c r="B18" s="18">
        <f t="shared" si="0"/>
        <v>34</v>
      </c>
      <c r="C18" s="18">
        <f t="shared" si="1"/>
        <v>40</v>
      </c>
      <c r="D18" s="18">
        <f t="shared" si="2"/>
        <v>10</v>
      </c>
      <c r="E18" s="18">
        <f t="shared" si="3"/>
        <v>0</v>
      </c>
      <c r="F18" s="18">
        <f t="shared" si="4"/>
        <v>0</v>
      </c>
      <c r="G18" s="18">
        <f t="shared" si="5"/>
        <v>0</v>
      </c>
      <c r="H18" s="18">
        <f t="shared" si="6"/>
        <v>27</v>
      </c>
      <c r="I18" s="18">
        <f t="shared" si="7"/>
        <v>0</v>
      </c>
      <c r="J18" s="18">
        <f t="shared" si="8"/>
        <v>0</v>
      </c>
      <c r="K18" s="18">
        <f t="shared" si="9"/>
        <v>0</v>
      </c>
      <c r="L18" s="4"/>
      <c r="M18">
        <f>IF(Availability!B18=0,0,1)</f>
        <v>1</v>
      </c>
      <c r="N18">
        <f>IF(Availability!C18=0,0,1)</f>
        <v>1</v>
      </c>
      <c r="O18">
        <f>IF(Availability!D18=0,0,1)</f>
        <v>1</v>
      </c>
      <c r="P18">
        <f>IF(Availability!E18=0,0,1)</f>
        <v>0</v>
      </c>
      <c r="Q18">
        <f>IF(Availability!F18=0,0,1)</f>
        <v>0</v>
      </c>
      <c r="R18">
        <f>IF(Availability!G18=0,0,1)</f>
        <v>0</v>
      </c>
      <c r="S18">
        <f>IF(Availability!H18=0,0,1)</f>
        <v>1</v>
      </c>
      <c r="T18">
        <f>IF(Availability!I18=0,0,1)</f>
        <v>0</v>
      </c>
      <c r="U18">
        <f>IF(Availability!J18=0,0,1)</f>
        <v>0</v>
      </c>
      <c r="V18">
        <f>IF(Availability!K18=0,0,1)</f>
        <v>0</v>
      </c>
    </row>
    <row r="19" spans="1:29">
      <c r="A19" t="s">
        <v>11</v>
      </c>
      <c r="B19" s="18">
        <f t="shared" si="0"/>
        <v>0</v>
      </c>
      <c r="C19" s="18">
        <f t="shared" si="1"/>
        <v>40</v>
      </c>
      <c r="D19" s="18">
        <f t="shared" si="2"/>
        <v>10</v>
      </c>
      <c r="E19" s="18">
        <f t="shared" si="3"/>
        <v>5.5</v>
      </c>
      <c r="F19" s="18">
        <f t="shared" si="4"/>
        <v>0</v>
      </c>
      <c r="G19" s="18">
        <f t="shared" si="5"/>
        <v>4.4000000000000004</v>
      </c>
      <c r="H19" s="18">
        <f t="shared" si="6"/>
        <v>27</v>
      </c>
      <c r="I19" s="18">
        <f t="shared" si="7"/>
        <v>0</v>
      </c>
      <c r="J19" s="18">
        <f t="shared" si="8"/>
        <v>32</v>
      </c>
      <c r="K19" s="18">
        <f t="shared" si="9"/>
        <v>0</v>
      </c>
      <c r="L19" s="4"/>
      <c r="M19">
        <f>IF(Availability!B19=0,0,1)</f>
        <v>0</v>
      </c>
      <c r="N19">
        <f>IF(Availability!C19=0,0,1)</f>
        <v>1</v>
      </c>
      <c r="O19">
        <f>IF(Availability!D19=0,0,1)</f>
        <v>1</v>
      </c>
      <c r="P19">
        <f>IF(Availability!E19=0,0,1)</f>
        <v>1</v>
      </c>
      <c r="Q19">
        <f>IF(Availability!F19=0,0,1)</f>
        <v>0</v>
      </c>
      <c r="R19">
        <f>IF(Availability!G19=0,0,1)</f>
        <v>1</v>
      </c>
      <c r="S19">
        <f>IF(Availability!H19=0,0,1)</f>
        <v>1</v>
      </c>
      <c r="T19">
        <f>IF(Availability!I19=0,0,1)</f>
        <v>0</v>
      </c>
      <c r="U19">
        <f>IF(Availability!J19=0,0,1)</f>
        <v>1</v>
      </c>
      <c r="V19">
        <f>IF(Availability!K19=0,0,1)</f>
        <v>0</v>
      </c>
    </row>
    <row r="20" spans="1:29">
      <c r="A20" t="s">
        <v>12</v>
      </c>
      <c r="B20" s="18">
        <f t="shared" si="0"/>
        <v>34</v>
      </c>
      <c r="C20" s="18">
        <f t="shared" si="1"/>
        <v>40</v>
      </c>
      <c r="D20" s="18">
        <f t="shared" si="2"/>
        <v>10</v>
      </c>
      <c r="E20" s="18">
        <f t="shared" si="3"/>
        <v>5.5</v>
      </c>
      <c r="F20" s="18">
        <f t="shared" si="4"/>
        <v>40.31333333333334</v>
      </c>
      <c r="G20" s="18">
        <f t="shared" si="5"/>
        <v>0</v>
      </c>
      <c r="H20" s="18">
        <f t="shared" si="6"/>
        <v>27</v>
      </c>
      <c r="I20" s="18">
        <f t="shared" si="7"/>
        <v>0</v>
      </c>
      <c r="J20" s="18">
        <f t="shared" si="8"/>
        <v>32</v>
      </c>
      <c r="K20" s="18">
        <f t="shared" si="9"/>
        <v>0</v>
      </c>
      <c r="L20" s="4"/>
      <c r="M20">
        <f>IF(Availability!B20=0,0,1)</f>
        <v>1</v>
      </c>
      <c r="N20">
        <f>IF(Availability!C20=0,0,1)</f>
        <v>1</v>
      </c>
      <c r="O20">
        <f>IF(Availability!D20=0,0,1)</f>
        <v>1</v>
      </c>
      <c r="P20">
        <f>IF(Availability!E20=0,0,1)</f>
        <v>1</v>
      </c>
      <c r="Q20">
        <f>IF(Availability!F20=0,0,1)</f>
        <v>1</v>
      </c>
      <c r="R20">
        <f>IF(Availability!G20=0,0,1)</f>
        <v>0</v>
      </c>
      <c r="S20">
        <f>IF(Availability!H20=0,0,1)</f>
        <v>1</v>
      </c>
      <c r="T20">
        <f>IF(Availability!I20=0,0,1)</f>
        <v>0</v>
      </c>
      <c r="U20">
        <f>IF(Availability!J20=0,0,1)</f>
        <v>1</v>
      </c>
      <c r="V20">
        <f>IF(Availability!K20=0,0,1)</f>
        <v>0</v>
      </c>
    </row>
    <row r="21" spans="1:29">
      <c r="A21" t="s">
        <v>13</v>
      </c>
      <c r="B21" s="18">
        <f t="shared" si="0"/>
        <v>34</v>
      </c>
      <c r="C21" s="18">
        <f t="shared" si="1"/>
        <v>40</v>
      </c>
      <c r="D21" s="18">
        <f t="shared" si="2"/>
        <v>10</v>
      </c>
      <c r="E21" s="18">
        <f t="shared" si="3"/>
        <v>0</v>
      </c>
      <c r="F21" s="18">
        <f t="shared" si="4"/>
        <v>0</v>
      </c>
      <c r="G21" s="18">
        <f t="shared" si="5"/>
        <v>0</v>
      </c>
      <c r="H21" s="18">
        <f t="shared" si="6"/>
        <v>27</v>
      </c>
      <c r="I21" s="18">
        <f t="shared" si="7"/>
        <v>0</v>
      </c>
      <c r="J21" s="18">
        <f t="shared" si="8"/>
        <v>0</v>
      </c>
      <c r="K21" s="18">
        <f t="shared" si="9"/>
        <v>0</v>
      </c>
      <c r="M21">
        <f>IF(Availability!B21=0,0,1)</f>
        <v>1</v>
      </c>
      <c r="N21">
        <f>IF(Availability!C21=0,0,1)</f>
        <v>1</v>
      </c>
      <c r="O21">
        <f>IF(Availability!D21=0,0,1)</f>
        <v>1</v>
      </c>
      <c r="P21">
        <f>IF(Availability!E21=0,0,1)</f>
        <v>0</v>
      </c>
      <c r="Q21">
        <f>IF(Availability!F21=0,0,1)</f>
        <v>0</v>
      </c>
      <c r="R21">
        <f>IF(Availability!G21=0,0,1)</f>
        <v>0</v>
      </c>
      <c r="S21">
        <f>IF(Availability!H21=0,0,1)</f>
        <v>1</v>
      </c>
      <c r="T21">
        <f>IF(Availability!I21=0,0,1)</f>
        <v>0</v>
      </c>
      <c r="U21">
        <f>IF(Availability!J21=0,0,1)</f>
        <v>0</v>
      </c>
      <c r="V21">
        <f>IF(Availability!K21=0,0,1)</f>
        <v>0</v>
      </c>
    </row>
    <row r="22" spans="1:29">
      <c r="A22" t="s">
        <v>14</v>
      </c>
      <c r="B22" s="18">
        <f t="shared" si="0"/>
        <v>0</v>
      </c>
      <c r="C22" s="18">
        <f t="shared" si="1"/>
        <v>0</v>
      </c>
      <c r="D22" s="18">
        <f t="shared" si="2"/>
        <v>0</v>
      </c>
      <c r="E22" s="18">
        <f t="shared" si="3"/>
        <v>0</v>
      </c>
      <c r="F22" s="18">
        <f t="shared" si="4"/>
        <v>0</v>
      </c>
      <c r="G22" s="18">
        <f t="shared" si="5"/>
        <v>0</v>
      </c>
      <c r="H22" s="18">
        <f t="shared" si="6"/>
        <v>0</v>
      </c>
      <c r="I22" s="18">
        <f t="shared" si="7"/>
        <v>24.25</v>
      </c>
      <c r="J22" s="18">
        <f t="shared" si="8"/>
        <v>0</v>
      </c>
      <c r="K22" s="18">
        <f t="shared" si="9"/>
        <v>0</v>
      </c>
      <c r="M22">
        <f>IF(Availability!B22=0,0,1)</f>
        <v>0</v>
      </c>
      <c r="N22">
        <f>IF(Availability!C22=0,0,1)</f>
        <v>0</v>
      </c>
      <c r="O22">
        <f>IF(Availability!D22=0,0,1)</f>
        <v>0</v>
      </c>
      <c r="P22">
        <f>IF(Availability!E22=0,0,1)</f>
        <v>0</v>
      </c>
      <c r="Q22">
        <f>IF(Availability!F22=0,0,1)</f>
        <v>0</v>
      </c>
      <c r="R22">
        <f>IF(Availability!G22=0,0,1)</f>
        <v>0</v>
      </c>
      <c r="S22">
        <f>IF(Availability!H22=0,0,1)</f>
        <v>0</v>
      </c>
      <c r="T22">
        <f>IF(Availability!I22=0,0,1)</f>
        <v>1</v>
      </c>
      <c r="U22">
        <f>IF(Availability!J22=0,0,1)</f>
        <v>0</v>
      </c>
      <c r="V22">
        <f>IF(Availability!K22=0,0,1)</f>
        <v>0</v>
      </c>
    </row>
    <row r="23" spans="1:29">
      <c r="A23" t="s">
        <v>15</v>
      </c>
      <c r="B23" s="18">
        <f t="shared" si="0"/>
        <v>0</v>
      </c>
      <c r="C23" s="18">
        <f t="shared" si="1"/>
        <v>0</v>
      </c>
      <c r="D23" s="18">
        <f t="shared" si="2"/>
        <v>0</v>
      </c>
      <c r="E23" s="18">
        <f t="shared" si="3"/>
        <v>0</v>
      </c>
      <c r="F23" s="18">
        <f t="shared" si="4"/>
        <v>0</v>
      </c>
      <c r="G23" s="18">
        <f t="shared" si="5"/>
        <v>0</v>
      </c>
      <c r="H23" s="18">
        <f t="shared" si="6"/>
        <v>0</v>
      </c>
      <c r="I23" s="18">
        <f t="shared" si="7"/>
        <v>24.25</v>
      </c>
      <c r="J23" s="18">
        <f t="shared" si="8"/>
        <v>0</v>
      </c>
      <c r="K23" s="18">
        <f t="shared" si="9"/>
        <v>0</v>
      </c>
      <c r="M23">
        <f>IF(Availability!B23=0,0,1)</f>
        <v>0</v>
      </c>
      <c r="N23">
        <f>IF(Availability!C23=0,0,1)</f>
        <v>0</v>
      </c>
      <c r="O23">
        <f>IF(Availability!D23=0,0,1)</f>
        <v>0</v>
      </c>
      <c r="P23">
        <f>IF(Availability!E23=0,0,1)</f>
        <v>0</v>
      </c>
      <c r="Q23">
        <f>IF(Availability!F23=0,0,1)</f>
        <v>0</v>
      </c>
      <c r="R23">
        <f>IF(Availability!G23=0,0,1)</f>
        <v>0</v>
      </c>
      <c r="S23">
        <f>IF(Availability!H23=0,0,1)</f>
        <v>0</v>
      </c>
      <c r="T23">
        <f>IF(Availability!I23=0,0,1)</f>
        <v>1</v>
      </c>
      <c r="U23">
        <f>IF(Availability!J23=0,0,1)</f>
        <v>0</v>
      </c>
      <c r="V23">
        <f>IF(Availability!K23=0,0,1)</f>
        <v>0</v>
      </c>
    </row>
    <row r="24" spans="1:29">
      <c r="A24" t="s">
        <v>16</v>
      </c>
      <c r="B24" s="18">
        <f t="shared" si="0"/>
        <v>0</v>
      </c>
      <c r="C24" s="18">
        <f t="shared" si="1"/>
        <v>0</v>
      </c>
      <c r="D24" s="18">
        <f t="shared" si="2"/>
        <v>0</v>
      </c>
      <c r="E24" s="18">
        <f t="shared" si="3"/>
        <v>0</v>
      </c>
      <c r="F24" s="18">
        <f t="shared" si="4"/>
        <v>0</v>
      </c>
      <c r="G24" s="18">
        <f t="shared" si="5"/>
        <v>0</v>
      </c>
      <c r="H24" s="18">
        <f t="shared" si="6"/>
        <v>0</v>
      </c>
      <c r="I24" s="18">
        <f t="shared" si="7"/>
        <v>0</v>
      </c>
      <c r="J24" s="18">
        <f t="shared" si="8"/>
        <v>0</v>
      </c>
      <c r="K24" s="18">
        <f t="shared" si="9"/>
        <v>153.36904761904762</v>
      </c>
      <c r="M24">
        <f>IF(Availability!B24=0,0,1)</f>
        <v>0</v>
      </c>
      <c r="N24">
        <f>IF(Availability!C24=0,0,1)</f>
        <v>0</v>
      </c>
      <c r="O24">
        <f>IF(Availability!D24=0,0,1)</f>
        <v>0</v>
      </c>
      <c r="P24">
        <f>IF(Availability!E24=0,0,1)</f>
        <v>0</v>
      </c>
      <c r="Q24">
        <f>IF(Availability!F24=0,0,1)</f>
        <v>0</v>
      </c>
      <c r="R24">
        <f>IF(Availability!G24=0,0,1)</f>
        <v>0</v>
      </c>
      <c r="S24">
        <f>IF(Availability!H24=0,0,1)</f>
        <v>0</v>
      </c>
      <c r="T24">
        <f>IF(Availability!I24=0,0,1)</f>
        <v>0</v>
      </c>
      <c r="U24">
        <f>IF(Availability!J24=0,0,1)</f>
        <v>0</v>
      </c>
      <c r="V24">
        <f>IF(Availability!K24=0,0,1)</f>
        <v>1</v>
      </c>
    </row>
    <row r="25" spans="1:29">
      <c r="A25" t="s">
        <v>17</v>
      </c>
      <c r="B25" s="18">
        <f t="shared" si="0"/>
        <v>0</v>
      </c>
      <c r="C25" s="18">
        <f t="shared" si="1"/>
        <v>0</v>
      </c>
      <c r="D25" s="18">
        <f t="shared" si="2"/>
        <v>0</v>
      </c>
      <c r="E25" s="18">
        <f t="shared" si="3"/>
        <v>0</v>
      </c>
      <c r="F25" s="18">
        <f t="shared" si="4"/>
        <v>0</v>
      </c>
      <c r="G25" s="18">
        <f t="shared" si="5"/>
        <v>0</v>
      </c>
      <c r="H25" s="18">
        <f t="shared" si="6"/>
        <v>0</v>
      </c>
      <c r="I25" s="18">
        <f t="shared" si="7"/>
        <v>0</v>
      </c>
      <c r="J25" s="18">
        <f t="shared" si="8"/>
        <v>0</v>
      </c>
      <c r="K25" s="18">
        <f t="shared" si="9"/>
        <v>153.36904761904762</v>
      </c>
      <c r="M25">
        <f>IF(Availability!B25=0,0,1)</f>
        <v>0</v>
      </c>
      <c r="N25">
        <f>IF(Availability!C25=0,0,1)</f>
        <v>0</v>
      </c>
      <c r="O25">
        <f>IF(Availability!D25=0,0,1)</f>
        <v>0</v>
      </c>
      <c r="P25">
        <f>IF(Availability!E25=0,0,1)</f>
        <v>0</v>
      </c>
      <c r="Q25">
        <f>IF(Availability!F25=0,0,1)</f>
        <v>0</v>
      </c>
      <c r="R25">
        <f>IF(Availability!G25=0,0,1)</f>
        <v>0</v>
      </c>
      <c r="S25">
        <f>IF(Availability!H25=0,0,1)</f>
        <v>0</v>
      </c>
      <c r="T25">
        <f>IF(Availability!I25=0,0,1)</f>
        <v>0</v>
      </c>
      <c r="U25">
        <f>IF(Availability!J25=0,0,1)</f>
        <v>0</v>
      </c>
      <c r="V25">
        <f>IF(Availability!K25=0,0,1)</f>
        <v>1</v>
      </c>
    </row>
    <row r="26" spans="1:29">
      <c r="A26" t="s">
        <v>18</v>
      </c>
      <c r="B26" s="18">
        <f t="shared" si="0"/>
        <v>0</v>
      </c>
      <c r="C26" s="18">
        <f t="shared" si="1"/>
        <v>0</v>
      </c>
      <c r="D26" s="18">
        <f t="shared" si="2"/>
        <v>0</v>
      </c>
      <c r="E26" s="18">
        <f t="shared" si="3"/>
        <v>0</v>
      </c>
      <c r="F26" s="18">
        <f t="shared" si="4"/>
        <v>0</v>
      </c>
      <c r="G26" s="18">
        <f t="shared" si="5"/>
        <v>0</v>
      </c>
      <c r="H26" s="18">
        <f t="shared" si="6"/>
        <v>0</v>
      </c>
      <c r="I26" s="18">
        <f t="shared" si="7"/>
        <v>0</v>
      </c>
      <c r="J26" s="18">
        <f t="shared" si="8"/>
        <v>0</v>
      </c>
      <c r="K26" s="18">
        <f t="shared" si="9"/>
        <v>153.36904761904762</v>
      </c>
      <c r="M26">
        <f>IF(Availability!B26=0,0,1)</f>
        <v>0</v>
      </c>
      <c r="N26">
        <f>IF(Availability!C26=0,0,1)</f>
        <v>0</v>
      </c>
      <c r="O26">
        <f>IF(Availability!D26=0,0,1)</f>
        <v>0</v>
      </c>
      <c r="P26">
        <f>IF(Availability!E26=0,0,1)</f>
        <v>0</v>
      </c>
      <c r="Q26">
        <f>IF(Availability!F26=0,0,1)</f>
        <v>0</v>
      </c>
      <c r="R26">
        <f>IF(Availability!G26=0,0,1)</f>
        <v>0</v>
      </c>
      <c r="S26">
        <f>IF(Availability!H26=0,0,1)</f>
        <v>0</v>
      </c>
      <c r="T26">
        <f>IF(Availability!I26=0,0,1)</f>
        <v>0</v>
      </c>
      <c r="U26">
        <f>IF(Availability!J26=0,0,1)</f>
        <v>0</v>
      </c>
      <c r="V26">
        <f>IF(Availability!K26=0,0,1)</f>
        <v>1</v>
      </c>
      <c r="X26" s="4"/>
      <c r="Y26" s="1"/>
      <c r="Z26" s="1"/>
      <c r="AA26" s="1"/>
      <c r="AB26" s="1"/>
      <c r="AC26" s="1"/>
    </row>
    <row r="27" spans="1:29">
      <c r="A27" t="s">
        <v>19</v>
      </c>
      <c r="B27" s="18">
        <f t="shared" si="0"/>
        <v>0</v>
      </c>
      <c r="C27" s="18">
        <f t="shared" si="1"/>
        <v>0</v>
      </c>
      <c r="D27" s="18">
        <f t="shared" si="2"/>
        <v>10</v>
      </c>
      <c r="E27" s="18">
        <f t="shared" si="3"/>
        <v>5.5</v>
      </c>
      <c r="F27" s="18">
        <f t="shared" si="4"/>
        <v>40.31333333333334</v>
      </c>
      <c r="G27" s="18">
        <f t="shared" si="5"/>
        <v>0</v>
      </c>
      <c r="H27" s="18">
        <f t="shared" si="6"/>
        <v>0</v>
      </c>
      <c r="I27" s="18">
        <f t="shared" si="7"/>
        <v>0</v>
      </c>
      <c r="J27" s="18">
        <f t="shared" si="8"/>
        <v>0</v>
      </c>
      <c r="K27" s="18">
        <f t="shared" si="9"/>
        <v>0</v>
      </c>
      <c r="M27">
        <f>IF(Availability!B27=0,0,1)</f>
        <v>0</v>
      </c>
      <c r="N27">
        <f>IF(Availability!C27=0,0,1)</f>
        <v>0</v>
      </c>
      <c r="O27">
        <f>IF(Availability!D27=0,0,1)</f>
        <v>1</v>
      </c>
      <c r="P27">
        <f>IF(Availability!E27=0,0,1)</f>
        <v>1</v>
      </c>
      <c r="Q27">
        <f>IF(Availability!F27=0,0,1)</f>
        <v>1</v>
      </c>
      <c r="R27">
        <f>IF(Availability!G27=0,0,1)</f>
        <v>0</v>
      </c>
      <c r="S27">
        <f>IF(Availability!H27=0,0,1)</f>
        <v>0</v>
      </c>
      <c r="T27">
        <f>IF(Availability!I27=0,0,1)</f>
        <v>0</v>
      </c>
      <c r="U27">
        <f>IF(Availability!J27=0,0,1)</f>
        <v>0</v>
      </c>
      <c r="V27">
        <f>IF(Availability!K27=0,0,1)</f>
        <v>0</v>
      </c>
      <c r="X27" s="4"/>
      <c r="Y27" s="1"/>
      <c r="Z27" s="1"/>
      <c r="AA27" s="1"/>
      <c r="AB27" s="1"/>
      <c r="AC27" s="1"/>
    </row>
    <row r="28" spans="1:29">
      <c r="X28" s="4"/>
      <c r="Y28" s="15"/>
      <c r="Z28" s="15"/>
      <c r="AA28" s="15"/>
      <c r="AB28" s="1"/>
      <c r="AC28" s="1"/>
    </row>
    <row r="29" spans="1:29">
      <c r="X29" s="4"/>
      <c r="Y29" s="1"/>
      <c r="Z29" s="1"/>
      <c r="AA29" s="1"/>
      <c r="AB29" s="1"/>
      <c r="AC29" s="1"/>
    </row>
    <row r="30" spans="1:29">
      <c r="X30" s="4"/>
      <c r="Y30" s="1"/>
      <c r="Z30" s="1"/>
      <c r="AA30" s="1"/>
      <c r="AB30" s="1"/>
      <c r="AC30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20A93-DED3-48E9-B907-5C32A7B3CFE5}">
  <dimension ref="A1:M35"/>
  <sheetViews>
    <sheetView workbookViewId="0">
      <selection activeCell="J24" sqref="J24"/>
    </sheetView>
  </sheetViews>
  <sheetFormatPr defaultRowHeight="14.4"/>
  <cols>
    <col min="1" max="1" width="19.6640625" bestFit="1" customWidth="1"/>
    <col min="2" max="2" width="16.109375" bestFit="1" customWidth="1"/>
    <col min="3" max="3" width="13.5546875" bestFit="1" customWidth="1"/>
    <col min="4" max="4" width="17.33203125" bestFit="1" customWidth="1"/>
    <col min="5" max="5" width="14.44140625" bestFit="1" customWidth="1"/>
    <col min="6" max="7" width="10.5546875" bestFit="1" customWidth="1"/>
    <col min="8" max="8" width="11.109375" bestFit="1" customWidth="1"/>
    <col min="9" max="9" width="10.5546875" bestFit="1" customWidth="1"/>
    <col min="10" max="10" width="15.109375" bestFit="1" customWidth="1"/>
    <col min="11" max="11" width="9.6640625" bestFit="1" customWidth="1"/>
    <col min="12" max="13" width="11.6640625" bestFit="1" customWidth="1"/>
  </cols>
  <sheetData>
    <row r="1" spans="1:13">
      <c r="A1" s="23"/>
      <c r="B1" s="29" t="s">
        <v>93</v>
      </c>
      <c r="C1" s="29" t="s">
        <v>49</v>
      </c>
      <c r="D1" s="29" t="s">
        <v>50</v>
      </c>
      <c r="E1" s="29" t="s">
        <v>51</v>
      </c>
      <c r="F1" s="29" t="s">
        <v>52</v>
      </c>
      <c r="G1" s="29" t="s">
        <v>53</v>
      </c>
      <c r="H1" s="29" t="s">
        <v>54</v>
      </c>
      <c r="I1" s="29" t="s">
        <v>55</v>
      </c>
      <c r="J1" s="29" t="s">
        <v>56</v>
      </c>
      <c r="K1" s="29" t="s">
        <v>57</v>
      </c>
      <c r="L1" s="29" t="s">
        <v>58</v>
      </c>
      <c r="M1" s="29" t="s">
        <v>59</v>
      </c>
    </row>
    <row r="2" spans="1:13">
      <c r="A2" s="24"/>
      <c r="B2" s="44" t="s">
        <v>94</v>
      </c>
      <c r="C2" s="30" t="s">
        <v>95</v>
      </c>
      <c r="D2" s="30" t="s">
        <v>96</v>
      </c>
      <c r="E2" s="30" t="s">
        <v>97</v>
      </c>
      <c r="F2" s="30" t="s">
        <v>98</v>
      </c>
      <c r="G2" s="30" t="s">
        <v>99</v>
      </c>
      <c r="H2" s="30" t="s">
        <v>100</v>
      </c>
      <c r="I2" s="30" t="s">
        <v>99</v>
      </c>
      <c r="J2" s="30" t="s">
        <v>101</v>
      </c>
      <c r="K2" s="30" t="s">
        <v>102</v>
      </c>
      <c r="L2" s="30" t="s">
        <v>103</v>
      </c>
      <c r="M2" s="30" t="s">
        <v>104</v>
      </c>
    </row>
    <row r="3" spans="1:13">
      <c r="A3" s="21"/>
      <c r="B3" s="45"/>
      <c r="C3" s="27" t="s">
        <v>105</v>
      </c>
      <c r="D3" s="27" t="s">
        <v>106</v>
      </c>
      <c r="E3" s="27" t="s">
        <v>107</v>
      </c>
      <c r="F3" s="27" t="s">
        <v>108</v>
      </c>
      <c r="G3" s="27" t="s">
        <v>106</v>
      </c>
      <c r="H3" s="27" t="s">
        <v>109</v>
      </c>
      <c r="I3" s="27" t="s">
        <v>106</v>
      </c>
      <c r="J3" s="27" t="s">
        <v>106</v>
      </c>
      <c r="K3" s="27" t="s">
        <v>106</v>
      </c>
      <c r="L3" s="27" t="s">
        <v>106</v>
      </c>
      <c r="M3" s="27" t="s">
        <v>110</v>
      </c>
    </row>
    <row r="4" spans="1:13">
      <c r="A4" s="20" t="s">
        <v>20</v>
      </c>
      <c r="B4" s="25" t="s">
        <v>89</v>
      </c>
      <c r="C4" s="31">
        <v>280</v>
      </c>
      <c r="D4" s="31">
        <v>262.37333333333328</v>
      </c>
      <c r="E4" s="31">
        <v>308.79633333333328</v>
      </c>
      <c r="F4" s="31">
        <v>50</v>
      </c>
      <c r="G4" s="31">
        <v>14</v>
      </c>
      <c r="H4" s="31">
        <v>48.8</v>
      </c>
      <c r="I4" s="31">
        <v>0.5</v>
      </c>
      <c r="J4" s="31">
        <v>0</v>
      </c>
      <c r="K4" s="31">
        <v>8.4</v>
      </c>
      <c r="L4" s="31">
        <v>5.6000000000000005</v>
      </c>
      <c r="M4" s="26">
        <v>1.2</v>
      </c>
    </row>
    <row r="5" spans="1:13">
      <c r="A5" s="20" t="s">
        <v>21</v>
      </c>
      <c r="B5" s="25" t="s">
        <v>90</v>
      </c>
      <c r="C5" s="31">
        <v>458.05</v>
      </c>
      <c r="D5" s="31">
        <v>335.45</v>
      </c>
      <c r="E5" s="31">
        <v>294.36180555555558</v>
      </c>
      <c r="F5" s="31">
        <v>60</v>
      </c>
      <c r="G5" s="31">
        <v>26</v>
      </c>
      <c r="H5" s="31">
        <v>9</v>
      </c>
      <c r="I5" s="31">
        <v>1.5</v>
      </c>
      <c r="J5" s="31">
        <v>3</v>
      </c>
      <c r="K5" s="31">
        <v>13.7415</v>
      </c>
      <c r="L5" s="31">
        <v>1</v>
      </c>
      <c r="M5" s="26">
        <v>1.5</v>
      </c>
    </row>
    <row r="6" spans="1:13">
      <c r="A6" s="20" t="s">
        <v>22</v>
      </c>
      <c r="B6" s="25" t="s">
        <v>90</v>
      </c>
      <c r="C6" s="31">
        <v>242.5</v>
      </c>
      <c r="D6" s="31">
        <v>192.9</v>
      </c>
      <c r="E6" s="31">
        <v>182.1875</v>
      </c>
      <c r="F6" s="31">
        <v>50</v>
      </c>
      <c r="G6" s="31">
        <v>4</v>
      </c>
      <c r="H6" s="31">
        <v>24</v>
      </c>
      <c r="I6" s="31">
        <v>0.5</v>
      </c>
      <c r="J6" s="31">
        <v>3</v>
      </c>
      <c r="K6" s="31">
        <v>7.2749999999999995</v>
      </c>
      <c r="L6" s="31">
        <v>1</v>
      </c>
      <c r="M6" s="26">
        <v>1.35</v>
      </c>
    </row>
    <row r="7" spans="1:13">
      <c r="A7" s="20" t="s">
        <v>23</v>
      </c>
      <c r="B7" s="25" t="s">
        <v>90</v>
      </c>
      <c r="C7" s="31">
        <v>71.841000000000008</v>
      </c>
      <c r="D7" s="31">
        <v>59.841999999999999</v>
      </c>
      <c r="E7" s="31">
        <v>231.35999999999999</v>
      </c>
      <c r="F7" s="31">
        <v>60</v>
      </c>
      <c r="G7" s="31">
        <v>3.1</v>
      </c>
      <c r="H7" s="31">
        <v>18.8</v>
      </c>
      <c r="I7" s="31">
        <v>1.5</v>
      </c>
      <c r="J7" s="31">
        <v>10</v>
      </c>
      <c r="K7" s="31">
        <v>3.5920500000000004</v>
      </c>
      <c r="L7" s="31">
        <v>5</v>
      </c>
      <c r="M7" s="26">
        <v>1.4</v>
      </c>
    </row>
    <row r="8" spans="1:13">
      <c r="A8" s="20" t="s">
        <v>24</v>
      </c>
      <c r="B8" s="25" t="s">
        <v>91</v>
      </c>
      <c r="C8" s="31">
        <v>325.25454545454545</v>
      </c>
      <c r="D8" s="31">
        <v>307.98363636363638</v>
      </c>
      <c r="E8" s="31">
        <v>343.74585454545456</v>
      </c>
      <c r="F8" s="31">
        <v>50</v>
      </c>
      <c r="G8" s="31">
        <v>3.69</v>
      </c>
      <c r="H8" s="31">
        <v>48.8</v>
      </c>
      <c r="I8" s="31">
        <v>0.5</v>
      </c>
      <c r="J8" s="31">
        <v>0</v>
      </c>
      <c r="K8" s="31">
        <v>9.7576363636363634</v>
      </c>
      <c r="L8" s="31">
        <v>10</v>
      </c>
      <c r="M8" s="26">
        <v>1.2</v>
      </c>
    </row>
    <row r="9" spans="1:13">
      <c r="A9" s="20" t="s">
        <v>25</v>
      </c>
      <c r="B9" s="25" t="s">
        <v>90</v>
      </c>
      <c r="C9" s="31">
        <v>51.279999999999994</v>
      </c>
      <c r="D9" s="31">
        <v>39.56</v>
      </c>
      <c r="E9" s="31">
        <v>202.32</v>
      </c>
      <c r="F9" s="31">
        <v>60</v>
      </c>
      <c r="G9" s="31">
        <v>3</v>
      </c>
      <c r="H9" s="31">
        <v>11</v>
      </c>
      <c r="I9" s="31">
        <v>2.2400000000000002</v>
      </c>
      <c r="J9" s="31">
        <v>15</v>
      </c>
      <c r="K9" s="31">
        <v>3.8972799999999994</v>
      </c>
      <c r="L9" s="31">
        <v>4</v>
      </c>
      <c r="M9" s="26">
        <v>1.4</v>
      </c>
    </row>
    <row r="10" spans="1:13">
      <c r="A10" s="20" t="s">
        <v>26</v>
      </c>
      <c r="B10" s="25" t="s">
        <v>89</v>
      </c>
      <c r="C10" s="31">
        <v>258.51249999999999</v>
      </c>
      <c r="D10" s="31">
        <v>238.70000000000002</v>
      </c>
      <c r="E10" s="31">
        <v>280.4325</v>
      </c>
      <c r="F10" s="31">
        <v>50</v>
      </c>
      <c r="G10" s="31">
        <v>4</v>
      </c>
      <c r="H10" s="31">
        <v>48.8</v>
      </c>
      <c r="I10" s="31">
        <v>0.5</v>
      </c>
      <c r="J10" s="31">
        <v>0</v>
      </c>
      <c r="K10" s="31">
        <v>7.755374999999999</v>
      </c>
      <c r="L10" s="31">
        <v>5.6000000000000005</v>
      </c>
      <c r="M10" s="26">
        <v>1.2</v>
      </c>
    </row>
    <row r="11" spans="1:13">
      <c r="A11" s="20" t="s">
        <v>27</v>
      </c>
      <c r="B11" s="25" t="s">
        <v>92</v>
      </c>
      <c r="C11" s="31">
        <v>281.25</v>
      </c>
      <c r="D11" s="31">
        <v>272.25</v>
      </c>
      <c r="E11" s="31">
        <v>191.375</v>
      </c>
      <c r="F11" s="31">
        <v>50</v>
      </c>
      <c r="G11" s="31">
        <v>8</v>
      </c>
      <c r="H11" s="31">
        <v>20</v>
      </c>
      <c r="I11" s="31">
        <v>0.3</v>
      </c>
      <c r="J11" s="31">
        <v>0</v>
      </c>
      <c r="K11" s="31">
        <v>2.8125</v>
      </c>
      <c r="L11" s="31">
        <v>1</v>
      </c>
      <c r="M11" s="26">
        <v>1.35</v>
      </c>
    </row>
    <row r="12" spans="1:13">
      <c r="A12" s="20" t="s">
        <v>28</v>
      </c>
      <c r="B12" s="25" t="s">
        <v>89</v>
      </c>
      <c r="C12" s="31">
        <v>300</v>
      </c>
      <c r="D12" s="31">
        <v>283.45</v>
      </c>
      <c r="E12" s="31">
        <v>288.5</v>
      </c>
      <c r="F12" s="31">
        <v>50</v>
      </c>
      <c r="G12" s="31">
        <v>4</v>
      </c>
      <c r="H12" s="31">
        <v>48.8</v>
      </c>
      <c r="I12" s="31">
        <v>0.5</v>
      </c>
      <c r="J12" s="31">
        <v>0</v>
      </c>
      <c r="K12" s="31">
        <v>9</v>
      </c>
      <c r="L12" s="31">
        <v>5.6000000000000005</v>
      </c>
      <c r="M12" s="26">
        <v>1.2</v>
      </c>
    </row>
    <row r="13" spans="1:13">
      <c r="A13" s="22" t="s">
        <v>29</v>
      </c>
      <c r="B13" s="27" t="s">
        <v>92</v>
      </c>
      <c r="C13" s="32">
        <v>884.5</v>
      </c>
      <c r="D13" s="32">
        <v>832.97899999999993</v>
      </c>
      <c r="E13" s="32">
        <v>331.88416666666672</v>
      </c>
      <c r="F13" s="32">
        <v>50</v>
      </c>
      <c r="G13" s="32">
        <v>22</v>
      </c>
      <c r="H13" s="32">
        <v>54</v>
      </c>
      <c r="I13" s="32">
        <v>0</v>
      </c>
      <c r="J13" s="32">
        <v>0</v>
      </c>
      <c r="K13" s="32">
        <v>34.4955</v>
      </c>
      <c r="L13" s="32">
        <v>1</v>
      </c>
      <c r="M13" s="28">
        <v>1.2</v>
      </c>
    </row>
    <row r="16" spans="1:13">
      <c r="A16" s="29" t="s">
        <v>111</v>
      </c>
      <c r="B16" s="29" t="s">
        <v>112</v>
      </c>
      <c r="C16" s="39" t="s">
        <v>113</v>
      </c>
      <c r="D16" s="39" t="s">
        <v>114</v>
      </c>
    </row>
    <row r="17" spans="1:9">
      <c r="A17" s="34" t="s">
        <v>115</v>
      </c>
      <c r="B17" s="25" t="s">
        <v>19</v>
      </c>
      <c r="C17" s="34" t="s">
        <v>116</v>
      </c>
      <c r="D17" s="34" t="s">
        <v>137</v>
      </c>
    </row>
    <row r="18" spans="1:9">
      <c r="A18" s="34" t="s">
        <v>117</v>
      </c>
      <c r="B18" s="25" t="s">
        <v>118</v>
      </c>
      <c r="C18" s="34" t="s">
        <v>119</v>
      </c>
      <c r="D18" s="34" t="s">
        <v>138</v>
      </c>
    </row>
    <row r="19" spans="1:9">
      <c r="A19" s="37" t="s">
        <v>51</v>
      </c>
      <c r="B19" s="27" t="s">
        <v>8</v>
      </c>
      <c r="C19" s="37" t="s">
        <v>120</v>
      </c>
      <c r="D19" s="37" t="s">
        <v>139</v>
      </c>
    </row>
    <row r="22" spans="1:9">
      <c r="A22" s="39" t="s">
        <v>136</v>
      </c>
      <c r="B22" s="39" t="s">
        <v>137</v>
      </c>
      <c r="C22" s="39" t="s">
        <v>138</v>
      </c>
      <c r="D22" s="39" t="s">
        <v>139</v>
      </c>
      <c r="G22" s="40"/>
      <c r="H22" s="40"/>
      <c r="I22" s="40"/>
    </row>
    <row r="23" spans="1:9">
      <c r="A23" s="41">
        <v>0.01</v>
      </c>
      <c r="B23" s="42">
        <v>4.6570550596305296</v>
      </c>
      <c r="C23" s="42">
        <v>1.804729825901729</v>
      </c>
      <c r="D23" s="42">
        <v>0.44833772657454352</v>
      </c>
      <c r="G23" s="40"/>
      <c r="H23" s="40"/>
      <c r="I23" s="40"/>
    </row>
    <row r="24" spans="1:9">
      <c r="A24" s="41">
        <v>0.05</v>
      </c>
      <c r="B24" s="42">
        <v>4.6570550596305296</v>
      </c>
      <c r="C24" s="42">
        <v>2.070141688138833</v>
      </c>
      <c r="D24" s="42">
        <v>1.0128503777710749</v>
      </c>
      <c r="G24" s="40"/>
      <c r="H24" s="40"/>
      <c r="I24" s="40"/>
    </row>
    <row r="25" spans="1:9">
      <c r="A25" s="41">
        <v>0.1</v>
      </c>
      <c r="B25" s="42">
        <v>4.6570550596305296</v>
      </c>
      <c r="C25" s="42">
        <v>2.2181517618861419</v>
      </c>
      <c r="D25" s="42">
        <v>1.4516233372182079</v>
      </c>
      <c r="G25" s="40"/>
      <c r="H25" s="40"/>
      <c r="I25" s="40"/>
    </row>
    <row r="26" spans="1:9">
      <c r="A26" s="41">
        <v>0.2</v>
      </c>
      <c r="B26" s="42">
        <v>4.6570550596305296</v>
      </c>
      <c r="C26" s="42">
        <v>2.7067761711410601</v>
      </c>
      <c r="D26" s="42">
        <v>2.1125508340118579</v>
      </c>
      <c r="G26" s="40"/>
      <c r="H26" s="40"/>
      <c r="I26" s="40"/>
    </row>
    <row r="27" spans="1:9">
      <c r="A27" s="41">
        <v>0.3</v>
      </c>
      <c r="B27" s="42">
        <v>5.152912050461893</v>
      </c>
      <c r="C27" s="42">
        <v>3.0176688348470209</v>
      </c>
      <c r="D27" s="42">
        <v>2.670861074405527</v>
      </c>
      <c r="G27" s="40"/>
      <c r="H27" s="40"/>
      <c r="I27" s="40"/>
    </row>
    <row r="28" spans="1:9">
      <c r="A28" s="41">
        <v>0.4</v>
      </c>
      <c r="B28" s="42">
        <v>5.152912050461893</v>
      </c>
      <c r="C28" s="42">
        <v>3.2900729256067378</v>
      </c>
      <c r="D28" s="42">
        <v>3.196327967421337</v>
      </c>
      <c r="G28" s="40"/>
      <c r="H28" s="40"/>
      <c r="I28" s="40"/>
    </row>
    <row r="29" spans="1:9">
      <c r="A29" s="41">
        <v>0.5</v>
      </c>
      <c r="B29" s="42">
        <v>6.3175257296891161</v>
      </c>
      <c r="C29" s="42">
        <v>3.659665555746376</v>
      </c>
      <c r="D29" s="42">
        <v>3.723297411059034</v>
      </c>
      <c r="G29" s="40"/>
      <c r="H29" s="40"/>
      <c r="I29" s="40"/>
    </row>
    <row r="30" spans="1:9">
      <c r="A30" s="41">
        <v>0.6</v>
      </c>
      <c r="B30" s="42">
        <v>6.3175257296891161</v>
      </c>
      <c r="C30" s="42">
        <v>4.0672138151448927</v>
      </c>
      <c r="D30" s="42">
        <v>4.2808661083340489</v>
      </c>
      <c r="G30" s="40"/>
      <c r="H30" s="40"/>
      <c r="I30" s="40"/>
    </row>
    <row r="31" spans="1:9">
      <c r="A31" s="41">
        <v>0.7</v>
      </c>
      <c r="B31" s="42">
        <v>6.5025274285231323</v>
      </c>
      <c r="C31" s="42">
        <v>4.5101408359903159</v>
      </c>
      <c r="D31" s="42">
        <v>4.9070822375948344</v>
      </c>
      <c r="G31" s="40"/>
      <c r="H31" s="40"/>
      <c r="I31" s="40"/>
    </row>
    <row r="32" spans="1:9">
      <c r="A32" s="41">
        <v>0.8</v>
      </c>
      <c r="B32" s="42">
        <v>6.5025274285231323</v>
      </c>
      <c r="C32" s="42">
        <v>4.7119488257918896</v>
      </c>
      <c r="D32" s="42">
        <v>5.6735137479944484</v>
      </c>
      <c r="G32" s="40"/>
      <c r="H32" s="40"/>
      <c r="I32" s="40"/>
    </row>
    <row r="33" spans="1:4">
      <c r="A33" s="41">
        <v>0.9</v>
      </c>
      <c r="B33" s="42">
        <v>7.1550000000000002</v>
      </c>
      <c r="C33" s="42">
        <v>5.0190000000000001</v>
      </c>
      <c r="D33" s="42">
        <v>6.7859999999999996</v>
      </c>
    </row>
    <row r="34" spans="1:4">
      <c r="A34" s="41">
        <v>0.95</v>
      </c>
      <c r="B34" s="42">
        <v>7.1555559999999998</v>
      </c>
      <c r="C34" s="42">
        <v>5.4003480000000001</v>
      </c>
      <c r="D34" s="42">
        <v>7.7404549999999999</v>
      </c>
    </row>
    <row r="35" spans="1:4">
      <c r="A35" s="38">
        <v>0.99</v>
      </c>
      <c r="B35" s="43">
        <v>7.1555562541554156</v>
      </c>
      <c r="C35" s="43">
        <v>5.9117357790094571</v>
      </c>
      <c r="D35" s="43">
        <v>9.5970518243761624</v>
      </c>
    </row>
  </sheetData>
  <mergeCells count="1">
    <mergeCell ref="B2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Sheet1</vt:lpstr>
      <vt:lpstr>Item characteristics</vt:lpstr>
      <vt:lpstr>Ct</vt:lpstr>
      <vt:lpstr>Availability</vt:lpstr>
      <vt:lpstr>Purchase prices</vt:lpstr>
      <vt:lpstr>For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Davide Carecci</dc:creator>
  <cp:keywords/>
  <dc:description/>
  <cp:lastModifiedBy>Davide Carecci</cp:lastModifiedBy>
  <cp:revision/>
  <dcterms:created xsi:type="dcterms:W3CDTF">2024-03-11T18:24:42Z</dcterms:created>
  <dcterms:modified xsi:type="dcterms:W3CDTF">2024-05-21T17:40:10Z</dcterms:modified>
  <cp:category/>
  <cp:contentStatus/>
</cp:coreProperties>
</file>